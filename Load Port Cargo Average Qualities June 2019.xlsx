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karamanoglou.TRADING\Documents\Market Data\Orlen\"/>
    </mc:Choice>
  </mc:AlternateContent>
  <xr:revisionPtr revIDLastSave="0" documentId="13_ncr:1_{EC5D0C86-A883-4A3B-8FE6-671F9C7567F6}" xr6:coauthVersionLast="47" xr6:coauthVersionMax="47" xr10:uidLastSave="{00000000-0000-0000-0000-000000000000}"/>
  <bookViews>
    <workbookView xWindow="28680" yWindow="-120" windowWidth="51840" windowHeight="21120" xr2:uid="{F6B44C84-681D-43AF-940B-76313A44420B}"/>
  </bookViews>
  <sheets>
    <sheet name="Typical Qualities" sheetId="2" r:id="rId1"/>
    <sheet name="data ref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2" l="1"/>
  <c r="G31" i="3"/>
  <c r="F31" i="3"/>
  <c r="E31" i="3"/>
  <c r="D31" i="3"/>
  <c r="C31" i="3"/>
  <c r="H30" i="3"/>
  <c r="H29" i="3"/>
  <c r="H28" i="3"/>
  <c r="H27" i="3"/>
  <c r="H26" i="3"/>
  <c r="H25" i="3"/>
  <c r="H24" i="3"/>
  <c r="H23" i="3"/>
  <c r="H22" i="3"/>
  <c r="H21" i="3"/>
  <c r="H20" i="3" s="1"/>
  <c r="H31" i="3" s="1"/>
  <c r="G15" i="3"/>
  <c r="F15" i="3"/>
  <c r="E15" i="3"/>
  <c r="D15" i="3"/>
  <c r="C15" i="3"/>
  <c r="H14" i="3"/>
  <c r="H13" i="3"/>
  <c r="H12" i="3"/>
  <c r="H11" i="3"/>
  <c r="H10" i="3"/>
  <c r="H9" i="3"/>
  <c r="H8" i="3"/>
  <c r="H7" i="3"/>
  <c r="H6" i="3"/>
  <c r="H5" i="3"/>
  <c r="H4" i="3" s="1"/>
  <c r="H15" i="3" s="1"/>
  <c r="AS274" i="2"/>
  <c r="AR274" i="2"/>
  <c r="AQ274" i="2"/>
  <c r="AP274" i="2"/>
  <c r="AO274" i="2"/>
  <c r="AN274" i="2"/>
  <c r="AM274" i="2"/>
  <c r="AL274" i="2"/>
  <c r="AK274" i="2"/>
  <c r="AJ274" i="2"/>
  <c r="AI274" i="2"/>
  <c r="AH274" i="2"/>
  <c r="AG274" i="2"/>
  <c r="AF274" i="2"/>
  <c r="AE274" i="2"/>
  <c r="AD274" i="2"/>
  <c r="AC274" i="2"/>
  <c r="AB274" i="2"/>
  <c r="AA274" i="2"/>
  <c r="Z274" i="2"/>
  <c r="Y274" i="2"/>
  <c r="X274" i="2"/>
  <c r="W274" i="2"/>
  <c r="V274" i="2"/>
  <c r="U274" i="2"/>
  <c r="T274" i="2"/>
  <c r="S274" i="2"/>
  <c r="R274" i="2"/>
  <c r="Q274" i="2"/>
  <c r="P274" i="2"/>
  <c r="O274" i="2"/>
  <c r="N274" i="2"/>
  <c r="M274" i="2"/>
  <c r="L274" i="2"/>
  <c r="K274" i="2"/>
  <c r="J274" i="2"/>
  <c r="I274" i="2"/>
  <c r="H274" i="2"/>
  <c r="G274" i="2"/>
  <c r="F274" i="2"/>
  <c r="E274" i="2"/>
  <c r="D274" i="2"/>
  <c r="C274" i="2"/>
  <c r="AS273" i="2"/>
  <c r="AR273" i="2"/>
  <c r="AQ273" i="2"/>
  <c r="AP273" i="2"/>
  <c r="AO273" i="2"/>
  <c r="AN273" i="2"/>
  <c r="AM273" i="2"/>
  <c r="AL273" i="2"/>
  <c r="AK273" i="2"/>
  <c r="AJ273" i="2"/>
  <c r="AI273" i="2"/>
  <c r="AH273" i="2"/>
  <c r="AG273" i="2"/>
  <c r="AF273" i="2"/>
  <c r="AE273" i="2"/>
  <c r="AD273" i="2"/>
  <c r="AC273" i="2"/>
  <c r="AB273" i="2"/>
  <c r="AA273" i="2"/>
  <c r="Z273" i="2"/>
  <c r="Y273" i="2"/>
  <c r="X273" i="2"/>
  <c r="W273" i="2"/>
  <c r="V273" i="2"/>
  <c r="U273" i="2"/>
  <c r="T273" i="2"/>
  <c r="S273" i="2"/>
  <c r="R273" i="2"/>
  <c r="Q273" i="2"/>
  <c r="P273" i="2"/>
  <c r="O273" i="2"/>
  <c r="N273" i="2"/>
  <c r="M273" i="2"/>
  <c r="L273" i="2"/>
  <c r="K273" i="2"/>
  <c r="J273" i="2"/>
  <c r="I273" i="2"/>
  <c r="H273" i="2"/>
  <c r="G273" i="2"/>
  <c r="F273" i="2"/>
  <c r="E273" i="2"/>
  <c r="D273" i="2"/>
  <c r="C273" i="2"/>
  <c r="AS272" i="2"/>
  <c r="AR272" i="2"/>
  <c r="AQ272" i="2"/>
  <c r="AP272" i="2"/>
  <c r="AO272" i="2"/>
  <c r="AN272" i="2"/>
  <c r="AM272" i="2"/>
  <c r="AL272" i="2"/>
  <c r="AK272" i="2"/>
  <c r="AJ272" i="2"/>
  <c r="AI272" i="2"/>
  <c r="AH272" i="2"/>
  <c r="AG272" i="2"/>
  <c r="AF272" i="2"/>
  <c r="AE272" i="2"/>
  <c r="AD272" i="2"/>
  <c r="AC272" i="2"/>
  <c r="AB272" i="2"/>
  <c r="AA272" i="2"/>
  <c r="Z272" i="2"/>
  <c r="Y272" i="2"/>
  <c r="X272" i="2"/>
  <c r="W272" i="2"/>
  <c r="V272" i="2"/>
  <c r="U272" i="2"/>
  <c r="T272" i="2"/>
  <c r="S272" i="2"/>
  <c r="R272" i="2"/>
  <c r="Q272" i="2"/>
  <c r="P272" i="2"/>
  <c r="O272" i="2"/>
  <c r="N272" i="2"/>
  <c r="M272" i="2"/>
  <c r="L272" i="2"/>
  <c r="K272" i="2"/>
  <c r="J272" i="2"/>
  <c r="I272" i="2"/>
  <c r="H272" i="2"/>
  <c r="G272" i="2"/>
  <c r="F272" i="2"/>
  <c r="E272" i="2"/>
  <c r="D272" i="2"/>
  <c r="C272" i="2"/>
  <c r="AS271" i="2"/>
  <c r="AR271" i="2"/>
  <c r="AQ271" i="2"/>
  <c r="AP271" i="2"/>
  <c r="AO271" i="2"/>
  <c r="AN271" i="2"/>
  <c r="AM271" i="2"/>
  <c r="AL271" i="2"/>
  <c r="AK271" i="2"/>
  <c r="AJ271" i="2"/>
  <c r="AI271" i="2"/>
  <c r="AH271" i="2"/>
  <c r="AG271" i="2"/>
  <c r="AF271" i="2"/>
  <c r="AE271" i="2"/>
  <c r="AD271" i="2"/>
  <c r="AC271" i="2"/>
  <c r="AB271" i="2"/>
  <c r="AA271" i="2"/>
  <c r="Z271" i="2"/>
  <c r="Y271" i="2"/>
  <c r="X271" i="2"/>
  <c r="W271" i="2"/>
  <c r="V271" i="2"/>
  <c r="U271" i="2"/>
  <c r="T271" i="2"/>
  <c r="S271" i="2"/>
  <c r="R271" i="2"/>
  <c r="Q271" i="2"/>
  <c r="P271" i="2"/>
  <c r="O271" i="2"/>
  <c r="N271" i="2"/>
  <c r="M271" i="2"/>
  <c r="L271" i="2"/>
  <c r="K271" i="2"/>
  <c r="J271" i="2"/>
  <c r="I271" i="2"/>
  <c r="H271" i="2"/>
  <c r="G271" i="2"/>
  <c r="F271" i="2"/>
  <c r="E271" i="2"/>
  <c r="D271" i="2"/>
  <c r="C271" i="2"/>
  <c r="AS270" i="2"/>
  <c r="AR270" i="2"/>
  <c r="AQ270" i="2"/>
  <c r="AP270" i="2"/>
  <c r="AO270" i="2"/>
  <c r="AN270" i="2"/>
  <c r="AM270" i="2"/>
  <c r="AL270" i="2"/>
  <c r="AK270" i="2"/>
  <c r="AJ270" i="2"/>
  <c r="AI270" i="2"/>
  <c r="AH270" i="2"/>
  <c r="AG270" i="2"/>
  <c r="AF270" i="2"/>
  <c r="AE270" i="2"/>
  <c r="AD270" i="2"/>
  <c r="AC270" i="2"/>
  <c r="AB270" i="2"/>
  <c r="AA270" i="2"/>
  <c r="Z270" i="2"/>
  <c r="Y270" i="2"/>
  <c r="X270" i="2"/>
  <c r="W270" i="2"/>
  <c r="V270" i="2"/>
  <c r="U270" i="2"/>
  <c r="T270" i="2"/>
  <c r="S270" i="2"/>
  <c r="R270" i="2"/>
  <c r="Q270" i="2"/>
  <c r="P270" i="2"/>
  <c r="O270" i="2"/>
  <c r="N270" i="2"/>
  <c r="M270" i="2"/>
  <c r="L270" i="2"/>
  <c r="K270" i="2"/>
  <c r="J270" i="2"/>
  <c r="I270" i="2"/>
  <c r="H270" i="2"/>
  <c r="G270" i="2"/>
  <c r="F270" i="2"/>
  <c r="E270" i="2"/>
  <c r="D270" i="2"/>
  <c r="C270" i="2"/>
  <c r="AS269" i="2"/>
  <c r="AR269" i="2"/>
  <c r="AQ269" i="2"/>
  <c r="AP269" i="2"/>
  <c r="AO269" i="2"/>
  <c r="AN269" i="2"/>
  <c r="AM269" i="2"/>
  <c r="AL269" i="2"/>
  <c r="AK269" i="2"/>
  <c r="AJ269" i="2"/>
  <c r="AI269" i="2"/>
  <c r="AH269" i="2"/>
  <c r="AG269" i="2"/>
  <c r="AF269" i="2"/>
  <c r="AE269" i="2"/>
  <c r="AD269" i="2"/>
  <c r="AC269" i="2"/>
  <c r="AB269" i="2"/>
  <c r="AA269" i="2"/>
  <c r="Z269" i="2"/>
  <c r="Y269" i="2"/>
  <c r="X269" i="2"/>
  <c r="W269" i="2"/>
  <c r="V269" i="2"/>
  <c r="U269" i="2"/>
  <c r="T269" i="2"/>
  <c r="S269" i="2"/>
  <c r="R269" i="2"/>
  <c r="Q269" i="2"/>
  <c r="P269" i="2"/>
  <c r="O269" i="2"/>
  <c r="N269" i="2"/>
  <c r="M269" i="2"/>
  <c r="L269" i="2"/>
  <c r="K269" i="2"/>
  <c r="J269" i="2"/>
  <c r="I269" i="2"/>
  <c r="H269" i="2"/>
  <c r="G269" i="2"/>
  <c r="F269" i="2"/>
  <c r="E269" i="2"/>
  <c r="D269" i="2"/>
  <c r="C269" i="2"/>
  <c r="AS268" i="2"/>
  <c r="AR268" i="2"/>
  <c r="AQ268" i="2"/>
  <c r="AP268" i="2"/>
  <c r="AO268" i="2"/>
  <c r="AN268" i="2"/>
  <c r="AM268" i="2"/>
  <c r="AL268" i="2"/>
  <c r="AK268" i="2"/>
  <c r="AJ268" i="2"/>
  <c r="AI268" i="2"/>
  <c r="AH268" i="2"/>
  <c r="AG268" i="2"/>
  <c r="AF268" i="2"/>
  <c r="AE268" i="2"/>
  <c r="AD268" i="2"/>
  <c r="AC268" i="2"/>
  <c r="AB268" i="2"/>
  <c r="AA268" i="2"/>
  <c r="Z268" i="2"/>
  <c r="Y268" i="2"/>
  <c r="X268" i="2"/>
  <c r="W268" i="2"/>
  <c r="V268" i="2"/>
  <c r="U268" i="2"/>
  <c r="T268" i="2"/>
  <c r="S268" i="2"/>
  <c r="R268" i="2"/>
  <c r="Q268" i="2"/>
  <c r="P268" i="2"/>
  <c r="O268" i="2"/>
  <c r="N268" i="2"/>
  <c r="M268" i="2"/>
  <c r="L268" i="2"/>
  <c r="K268" i="2"/>
  <c r="J268" i="2"/>
  <c r="I268" i="2"/>
  <c r="H268" i="2"/>
  <c r="G268" i="2"/>
  <c r="F268" i="2"/>
  <c r="E268" i="2"/>
  <c r="D268" i="2"/>
  <c r="C268" i="2"/>
  <c r="AS267" i="2"/>
  <c r="AR267" i="2"/>
  <c r="AQ267" i="2"/>
  <c r="AP267" i="2"/>
  <c r="AO267" i="2"/>
  <c r="AN267" i="2"/>
  <c r="AM267" i="2"/>
  <c r="AL267" i="2"/>
  <c r="AK267" i="2"/>
  <c r="AJ267" i="2"/>
  <c r="AI267" i="2"/>
  <c r="AH267" i="2"/>
  <c r="AG267" i="2"/>
  <c r="AF267" i="2"/>
  <c r="AE267" i="2"/>
  <c r="AD267" i="2"/>
  <c r="AC267" i="2"/>
  <c r="AB267" i="2"/>
  <c r="AA267" i="2"/>
  <c r="Z267" i="2"/>
  <c r="Y267" i="2"/>
  <c r="X267" i="2"/>
  <c r="W267" i="2"/>
  <c r="V267" i="2"/>
  <c r="U267" i="2"/>
  <c r="T267" i="2"/>
  <c r="S267" i="2"/>
  <c r="R267" i="2"/>
  <c r="Q267" i="2"/>
  <c r="P267" i="2"/>
  <c r="O267" i="2"/>
  <c r="N267" i="2"/>
  <c r="M267" i="2"/>
  <c r="L267" i="2"/>
  <c r="K267" i="2"/>
  <c r="J267" i="2"/>
  <c r="I267" i="2"/>
  <c r="H267" i="2"/>
  <c r="G267" i="2"/>
  <c r="F267" i="2"/>
  <c r="E267" i="2"/>
  <c r="D267" i="2"/>
  <c r="C267" i="2"/>
  <c r="AS266" i="2"/>
  <c r="AR266" i="2"/>
  <c r="AQ266" i="2"/>
  <c r="AP266" i="2"/>
  <c r="AO266" i="2"/>
  <c r="AN266" i="2"/>
  <c r="AM266" i="2"/>
  <c r="AL266" i="2"/>
  <c r="AK266" i="2"/>
  <c r="AJ266" i="2"/>
  <c r="AI266" i="2"/>
  <c r="AH266" i="2"/>
  <c r="AG266" i="2"/>
  <c r="AF266" i="2"/>
  <c r="AE266" i="2"/>
  <c r="AD266" i="2"/>
  <c r="AC266" i="2"/>
  <c r="AB266" i="2"/>
  <c r="AA266" i="2"/>
  <c r="Z266" i="2"/>
  <c r="Y266" i="2"/>
  <c r="X266" i="2"/>
  <c r="W266" i="2"/>
  <c r="V266" i="2"/>
  <c r="U266" i="2"/>
  <c r="T266" i="2"/>
  <c r="S266" i="2"/>
  <c r="R266" i="2"/>
  <c r="Q266" i="2"/>
  <c r="P266" i="2"/>
  <c r="O266" i="2"/>
  <c r="N266" i="2"/>
  <c r="M266" i="2"/>
  <c r="L266" i="2"/>
  <c r="K266" i="2"/>
  <c r="J266" i="2"/>
  <c r="I266" i="2"/>
  <c r="H266" i="2"/>
  <c r="G266" i="2"/>
  <c r="F266" i="2"/>
  <c r="E266" i="2"/>
  <c r="D266" i="2"/>
  <c r="C266" i="2"/>
  <c r="AS265" i="2"/>
  <c r="AR265" i="2"/>
  <c r="AQ265" i="2"/>
  <c r="AP265" i="2"/>
  <c r="AO265" i="2"/>
  <c r="AN265" i="2"/>
  <c r="AM265" i="2"/>
  <c r="AL265" i="2"/>
  <c r="AK265" i="2"/>
  <c r="AJ265" i="2"/>
  <c r="AI265" i="2"/>
  <c r="AH265" i="2"/>
  <c r="AG265" i="2"/>
  <c r="AF265" i="2"/>
  <c r="AE265" i="2"/>
  <c r="AD265" i="2"/>
  <c r="AC265" i="2"/>
  <c r="AB265" i="2"/>
  <c r="AA265" i="2"/>
  <c r="Z265" i="2"/>
  <c r="Y265" i="2"/>
  <c r="X265" i="2"/>
  <c r="W265" i="2"/>
  <c r="V265" i="2"/>
  <c r="U265" i="2"/>
  <c r="T265" i="2"/>
  <c r="S265" i="2"/>
  <c r="R265" i="2"/>
  <c r="Q265" i="2"/>
  <c r="P265" i="2"/>
  <c r="O265" i="2"/>
  <c r="N265" i="2"/>
  <c r="M265" i="2"/>
  <c r="L265" i="2"/>
  <c r="K265" i="2"/>
  <c r="J265" i="2"/>
  <c r="I265" i="2"/>
  <c r="H265" i="2"/>
  <c r="G265" i="2"/>
  <c r="F265" i="2"/>
  <c r="E265" i="2"/>
  <c r="D265" i="2"/>
  <c r="C265" i="2"/>
  <c r="AS264" i="2"/>
  <c r="AR264" i="2"/>
  <c r="AQ264" i="2"/>
  <c r="AP264" i="2"/>
  <c r="AO264" i="2"/>
  <c r="AN264" i="2"/>
  <c r="AM264" i="2"/>
  <c r="AL264" i="2"/>
  <c r="AK264" i="2"/>
  <c r="AJ264" i="2"/>
  <c r="AI264" i="2"/>
  <c r="AH264" i="2"/>
  <c r="AH275" i="2" s="1"/>
  <c r="AG264" i="2"/>
  <c r="AF264" i="2"/>
  <c r="AE264" i="2"/>
  <c r="AD264" i="2"/>
  <c r="AC264" i="2"/>
  <c r="AB264" i="2"/>
  <c r="AA264" i="2"/>
  <c r="Z264" i="2"/>
  <c r="Y264" i="2"/>
  <c r="X264" i="2"/>
  <c r="W264" i="2"/>
  <c r="V264" i="2"/>
  <c r="U264" i="2"/>
  <c r="U275" i="2" s="1"/>
  <c r="T264" i="2"/>
  <c r="S264" i="2"/>
  <c r="R264" i="2"/>
  <c r="Q264" i="2"/>
  <c r="P264" i="2"/>
  <c r="O264" i="2"/>
  <c r="N264" i="2"/>
  <c r="M264" i="2"/>
  <c r="L264" i="2"/>
  <c r="K264" i="2"/>
  <c r="J264" i="2"/>
  <c r="I264" i="2"/>
  <c r="H264" i="2"/>
  <c r="G264" i="2"/>
  <c r="F264" i="2"/>
  <c r="F275" i="2" s="1"/>
  <c r="E264" i="2"/>
  <c r="E275" i="2" s="1"/>
  <c r="D264" i="2"/>
  <c r="C264" i="2"/>
  <c r="AS248" i="2"/>
  <c r="AR248" i="2"/>
  <c r="AQ248" i="2"/>
  <c r="AP248" i="2"/>
  <c r="AO248" i="2"/>
  <c r="AN248" i="2"/>
  <c r="AM248" i="2"/>
  <c r="AL248" i="2"/>
  <c r="AK248" i="2"/>
  <c r="AJ248" i="2"/>
  <c r="AI248" i="2"/>
  <c r="AH248" i="2"/>
  <c r="AG248" i="2"/>
  <c r="AF248" i="2"/>
  <c r="AE248" i="2"/>
  <c r="AD248" i="2"/>
  <c r="AC248" i="2"/>
  <c r="AB248" i="2"/>
  <c r="AA248" i="2"/>
  <c r="Z248" i="2"/>
  <c r="Y248" i="2"/>
  <c r="X248" i="2"/>
  <c r="W248" i="2"/>
  <c r="V248" i="2"/>
  <c r="U248" i="2"/>
  <c r="T248" i="2"/>
  <c r="S248" i="2"/>
  <c r="R248" i="2"/>
  <c r="Q248" i="2"/>
  <c r="P248" i="2"/>
  <c r="O248" i="2"/>
  <c r="N248" i="2"/>
  <c r="M248" i="2"/>
  <c r="L248" i="2"/>
  <c r="K248" i="2"/>
  <c r="J248" i="2"/>
  <c r="I248" i="2"/>
  <c r="H248" i="2"/>
  <c r="G248" i="2"/>
  <c r="F248" i="2"/>
  <c r="E248" i="2"/>
  <c r="D248" i="2"/>
  <c r="C248" i="2"/>
  <c r="AS247" i="2"/>
  <c r="AR247" i="2"/>
  <c r="AQ247" i="2"/>
  <c r="AP247" i="2"/>
  <c r="AO247" i="2"/>
  <c r="AN247" i="2"/>
  <c r="AM247" i="2"/>
  <c r="AL247" i="2"/>
  <c r="AK247" i="2"/>
  <c r="AJ247" i="2"/>
  <c r="AI247" i="2"/>
  <c r="AH247" i="2"/>
  <c r="AG247" i="2"/>
  <c r="AF247" i="2"/>
  <c r="AE247" i="2"/>
  <c r="AD247" i="2"/>
  <c r="AC247" i="2"/>
  <c r="AB247" i="2"/>
  <c r="AA247" i="2"/>
  <c r="Z247" i="2"/>
  <c r="Y247" i="2"/>
  <c r="X247" i="2"/>
  <c r="W247" i="2"/>
  <c r="V247" i="2"/>
  <c r="U247" i="2"/>
  <c r="T247" i="2"/>
  <c r="S247" i="2"/>
  <c r="R247" i="2"/>
  <c r="Q247" i="2"/>
  <c r="P247" i="2"/>
  <c r="O247" i="2"/>
  <c r="N247" i="2"/>
  <c r="M247" i="2"/>
  <c r="L247" i="2"/>
  <c r="K247" i="2"/>
  <c r="J247" i="2"/>
  <c r="I247" i="2"/>
  <c r="H247" i="2"/>
  <c r="G247" i="2"/>
  <c r="F247" i="2"/>
  <c r="E247" i="2"/>
  <c r="D247" i="2"/>
  <c r="C247" i="2"/>
  <c r="AS246" i="2"/>
  <c r="AR246" i="2"/>
  <c r="AQ246" i="2"/>
  <c r="AP246" i="2"/>
  <c r="AO246" i="2"/>
  <c r="AN246" i="2"/>
  <c r="AM246" i="2"/>
  <c r="AL246" i="2"/>
  <c r="AK246" i="2"/>
  <c r="AJ246" i="2"/>
  <c r="AI246" i="2"/>
  <c r="AH246" i="2"/>
  <c r="AG246" i="2"/>
  <c r="AF246" i="2"/>
  <c r="AE246" i="2"/>
  <c r="AD246" i="2"/>
  <c r="AC246" i="2"/>
  <c r="AB246" i="2"/>
  <c r="AA246" i="2"/>
  <c r="Z246" i="2"/>
  <c r="Y246" i="2"/>
  <c r="X246" i="2"/>
  <c r="W246" i="2"/>
  <c r="V246" i="2"/>
  <c r="U246" i="2"/>
  <c r="T246" i="2"/>
  <c r="S246" i="2"/>
  <c r="R246" i="2"/>
  <c r="Q246" i="2"/>
  <c r="P246" i="2"/>
  <c r="O246" i="2"/>
  <c r="N246" i="2"/>
  <c r="M246" i="2"/>
  <c r="L246" i="2"/>
  <c r="K246" i="2"/>
  <c r="J246" i="2"/>
  <c r="I246" i="2"/>
  <c r="H246" i="2"/>
  <c r="G246" i="2"/>
  <c r="F246" i="2"/>
  <c r="E246" i="2"/>
  <c r="D246" i="2"/>
  <c r="C246" i="2"/>
  <c r="AS245" i="2"/>
  <c r="AR245" i="2"/>
  <c r="AQ245" i="2"/>
  <c r="AP245" i="2"/>
  <c r="AO245" i="2"/>
  <c r="AN245" i="2"/>
  <c r="AM245" i="2"/>
  <c r="AL245" i="2"/>
  <c r="AK245" i="2"/>
  <c r="AJ245" i="2"/>
  <c r="AI245" i="2"/>
  <c r="AH245" i="2"/>
  <c r="AG245" i="2"/>
  <c r="AF245" i="2"/>
  <c r="AE245" i="2"/>
  <c r="AD245" i="2"/>
  <c r="AC245" i="2"/>
  <c r="AB245" i="2"/>
  <c r="AA245" i="2"/>
  <c r="Z245" i="2"/>
  <c r="Y245" i="2"/>
  <c r="X245" i="2"/>
  <c r="W245" i="2"/>
  <c r="V245" i="2"/>
  <c r="U245" i="2"/>
  <c r="T245" i="2"/>
  <c r="S245" i="2"/>
  <c r="R245" i="2"/>
  <c r="Q245" i="2"/>
  <c r="P245" i="2"/>
  <c r="O245" i="2"/>
  <c r="N245" i="2"/>
  <c r="M245" i="2"/>
  <c r="L245" i="2"/>
  <c r="K245" i="2"/>
  <c r="J245" i="2"/>
  <c r="I245" i="2"/>
  <c r="H245" i="2"/>
  <c r="G245" i="2"/>
  <c r="F245" i="2"/>
  <c r="E245" i="2"/>
  <c r="D245" i="2"/>
  <c r="C245" i="2"/>
  <c r="AS244" i="2"/>
  <c r="AR244" i="2"/>
  <c r="AQ244" i="2"/>
  <c r="AP244" i="2"/>
  <c r="AO244" i="2"/>
  <c r="AN244" i="2"/>
  <c r="AM244" i="2"/>
  <c r="AL244" i="2"/>
  <c r="AK244" i="2"/>
  <c r="AJ244" i="2"/>
  <c r="AI244" i="2"/>
  <c r="AH244" i="2"/>
  <c r="AG244" i="2"/>
  <c r="AF244" i="2"/>
  <c r="AE244" i="2"/>
  <c r="AD244" i="2"/>
  <c r="AC244" i="2"/>
  <c r="AB244" i="2"/>
  <c r="AA244" i="2"/>
  <c r="Z244" i="2"/>
  <c r="Y244" i="2"/>
  <c r="X244" i="2"/>
  <c r="W244" i="2"/>
  <c r="V244" i="2"/>
  <c r="U244" i="2"/>
  <c r="T244" i="2"/>
  <c r="S244" i="2"/>
  <c r="R244" i="2"/>
  <c r="Q244" i="2"/>
  <c r="P244" i="2"/>
  <c r="O244" i="2"/>
  <c r="N244" i="2"/>
  <c r="M244" i="2"/>
  <c r="L244" i="2"/>
  <c r="K244" i="2"/>
  <c r="J244" i="2"/>
  <c r="I244" i="2"/>
  <c r="H244" i="2"/>
  <c r="G244" i="2"/>
  <c r="F244" i="2"/>
  <c r="E244" i="2"/>
  <c r="D244" i="2"/>
  <c r="C244" i="2"/>
  <c r="AS243" i="2"/>
  <c r="AR243" i="2"/>
  <c r="AQ243" i="2"/>
  <c r="AP243" i="2"/>
  <c r="AO243" i="2"/>
  <c r="AN243" i="2"/>
  <c r="AM243" i="2"/>
  <c r="AL243" i="2"/>
  <c r="AK243" i="2"/>
  <c r="AJ243" i="2"/>
  <c r="AI243" i="2"/>
  <c r="AH243" i="2"/>
  <c r="AG243" i="2"/>
  <c r="AF243" i="2"/>
  <c r="AE243" i="2"/>
  <c r="AD243" i="2"/>
  <c r="AC243" i="2"/>
  <c r="AB243" i="2"/>
  <c r="AA243" i="2"/>
  <c r="Z243" i="2"/>
  <c r="Y243" i="2"/>
  <c r="X243" i="2"/>
  <c r="W243" i="2"/>
  <c r="V243" i="2"/>
  <c r="U243" i="2"/>
  <c r="T243" i="2"/>
  <c r="S243" i="2"/>
  <c r="R243" i="2"/>
  <c r="Q243" i="2"/>
  <c r="P243" i="2"/>
  <c r="O243" i="2"/>
  <c r="N243" i="2"/>
  <c r="M243" i="2"/>
  <c r="L243" i="2"/>
  <c r="K243" i="2"/>
  <c r="J243" i="2"/>
  <c r="I243" i="2"/>
  <c r="H243" i="2"/>
  <c r="G243" i="2"/>
  <c r="F243" i="2"/>
  <c r="E243" i="2"/>
  <c r="D243" i="2"/>
  <c r="C243" i="2"/>
  <c r="AS242" i="2"/>
  <c r="AR242" i="2"/>
  <c r="AQ242" i="2"/>
  <c r="AP242" i="2"/>
  <c r="AO242" i="2"/>
  <c r="AN242" i="2"/>
  <c r="AM242" i="2"/>
  <c r="AL242" i="2"/>
  <c r="AK242" i="2"/>
  <c r="AJ242" i="2"/>
  <c r="AI242" i="2"/>
  <c r="AH242" i="2"/>
  <c r="AG242" i="2"/>
  <c r="AF242" i="2"/>
  <c r="AE242" i="2"/>
  <c r="AD242" i="2"/>
  <c r="AC242" i="2"/>
  <c r="AB242" i="2"/>
  <c r="AA242" i="2"/>
  <c r="Z242" i="2"/>
  <c r="Y242" i="2"/>
  <c r="X242" i="2"/>
  <c r="W242" i="2"/>
  <c r="V242" i="2"/>
  <c r="U242" i="2"/>
  <c r="T242" i="2"/>
  <c r="S242" i="2"/>
  <c r="R242" i="2"/>
  <c r="Q242" i="2"/>
  <c r="P242" i="2"/>
  <c r="O242" i="2"/>
  <c r="N242" i="2"/>
  <c r="M242" i="2"/>
  <c r="L242" i="2"/>
  <c r="K242" i="2"/>
  <c r="J242" i="2"/>
  <c r="I242" i="2"/>
  <c r="H242" i="2"/>
  <c r="G242" i="2"/>
  <c r="F242" i="2"/>
  <c r="E242" i="2"/>
  <c r="D242" i="2"/>
  <c r="C242" i="2"/>
  <c r="AS241" i="2"/>
  <c r="AR241" i="2"/>
  <c r="AQ241" i="2"/>
  <c r="AP241" i="2"/>
  <c r="AO241" i="2"/>
  <c r="AN241" i="2"/>
  <c r="AM241" i="2"/>
  <c r="AL241" i="2"/>
  <c r="AK241" i="2"/>
  <c r="AJ241" i="2"/>
  <c r="AI241" i="2"/>
  <c r="AH241" i="2"/>
  <c r="AG241" i="2"/>
  <c r="AF241" i="2"/>
  <c r="AE241" i="2"/>
  <c r="AD241" i="2"/>
  <c r="AC241" i="2"/>
  <c r="AB241" i="2"/>
  <c r="AA241" i="2"/>
  <c r="Z241" i="2"/>
  <c r="Y241" i="2"/>
  <c r="X241" i="2"/>
  <c r="W241" i="2"/>
  <c r="V241" i="2"/>
  <c r="U241" i="2"/>
  <c r="T241" i="2"/>
  <c r="S241" i="2"/>
  <c r="R241" i="2"/>
  <c r="Q241" i="2"/>
  <c r="P241" i="2"/>
  <c r="O241" i="2"/>
  <c r="N241" i="2"/>
  <c r="M241" i="2"/>
  <c r="L241" i="2"/>
  <c r="K241" i="2"/>
  <c r="J241" i="2"/>
  <c r="I241" i="2"/>
  <c r="H241" i="2"/>
  <c r="G241" i="2"/>
  <c r="F241" i="2"/>
  <c r="E241" i="2"/>
  <c r="D241" i="2"/>
  <c r="C241" i="2"/>
  <c r="AS240" i="2"/>
  <c r="AR240" i="2"/>
  <c r="AQ240" i="2"/>
  <c r="AP240" i="2"/>
  <c r="AO240" i="2"/>
  <c r="AN240" i="2"/>
  <c r="AM240" i="2"/>
  <c r="AL240" i="2"/>
  <c r="AK240" i="2"/>
  <c r="AJ240" i="2"/>
  <c r="AI240" i="2"/>
  <c r="AH240" i="2"/>
  <c r="AG240" i="2"/>
  <c r="AF240" i="2"/>
  <c r="AE240" i="2"/>
  <c r="AD240" i="2"/>
  <c r="AC240" i="2"/>
  <c r="AB240" i="2"/>
  <c r="AA240" i="2"/>
  <c r="Z240" i="2"/>
  <c r="Y240" i="2"/>
  <c r="X240" i="2"/>
  <c r="W240" i="2"/>
  <c r="V240" i="2"/>
  <c r="U240" i="2"/>
  <c r="T240" i="2"/>
  <c r="S240" i="2"/>
  <c r="R240" i="2"/>
  <c r="Q240" i="2"/>
  <c r="P240" i="2"/>
  <c r="O240" i="2"/>
  <c r="N240" i="2"/>
  <c r="M240" i="2"/>
  <c r="L240" i="2"/>
  <c r="K240" i="2"/>
  <c r="J240" i="2"/>
  <c r="I240" i="2"/>
  <c r="H240" i="2"/>
  <c r="G240" i="2"/>
  <c r="F240" i="2"/>
  <c r="E240" i="2"/>
  <c r="D240" i="2"/>
  <c r="C240" i="2"/>
  <c r="AS239" i="2"/>
  <c r="AR239" i="2"/>
  <c r="AQ239" i="2"/>
  <c r="AP239" i="2"/>
  <c r="AO239" i="2"/>
  <c r="AN239" i="2"/>
  <c r="AM239" i="2"/>
  <c r="AL239" i="2"/>
  <c r="AK239" i="2"/>
  <c r="AJ239" i="2"/>
  <c r="AI239" i="2"/>
  <c r="AH239" i="2"/>
  <c r="AG239" i="2"/>
  <c r="AF239" i="2"/>
  <c r="AE239" i="2"/>
  <c r="AD239" i="2"/>
  <c r="AC239" i="2"/>
  <c r="AB239" i="2"/>
  <c r="AA239" i="2"/>
  <c r="Z239" i="2"/>
  <c r="Y239" i="2"/>
  <c r="X239" i="2"/>
  <c r="W239" i="2"/>
  <c r="V239" i="2"/>
  <c r="U239" i="2"/>
  <c r="T239" i="2"/>
  <c r="S239" i="2"/>
  <c r="R239" i="2"/>
  <c r="Q239" i="2"/>
  <c r="P239" i="2"/>
  <c r="O239" i="2"/>
  <c r="N239" i="2"/>
  <c r="M239" i="2"/>
  <c r="L239" i="2"/>
  <c r="K239" i="2"/>
  <c r="J239" i="2"/>
  <c r="I239" i="2"/>
  <c r="H239" i="2"/>
  <c r="G239" i="2"/>
  <c r="F239" i="2"/>
  <c r="E239" i="2"/>
  <c r="D239" i="2"/>
  <c r="C239" i="2"/>
  <c r="AS238" i="2"/>
  <c r="AR238" i="2"/>
  <c r="AQ238" i="2"/>
  <c r="AP238" i="2"/>
  <c r="AO238" i="2"/>
  <c r="AN238" i="2"/>
  <c r="AM238" i="2"/>
  <c r="AL238" i="2"/>
  <c r="AK238" i="2"/>
  <c r="AJ238" i="2"/>
  <c r="AI238" i="2"/>
  <c r="AH238" i="2"/>
  <c r="AG238" i="2"/>
  <c r="AF238" i="2"/>
  <c r="AE238" i="2"/>
  <c r="AD238" i="2"/>
  <c r="AC238" i="2"/>
  <c r="AB238" i="2"/>
  <c r="AA238" i="2"/>
  <c r="Z238" i="2"/>
  <c r="Y238" i="2"/>
  <c r="X238" i="2"/>
  <c r="W238" i="2"/>
  <c r="V238" i="2"/>
  <c r="U238" i="2"/>
  <c r="T238" i="2"/>
  <c r="S238" i="2"/>
  <c r="R238" i="2"/>
  <c r="Q238" i="2"/>
  <c r="P238" i="2"/>
  <c r="O238" i="2"/>
  <c r="N238" i="2"/>
  <c r="M238" i="2"/>
  <c r="L238" i="2"/>
  <c r="K238" i="2"/>
  <c r="J238" i="2"/>
  <c r="I238" i="2"/>
  <c r="H238" i="2"/>
  <c r="G238" i="2"/>
  <c r="F238" i="2"/>
  <c r="E238" i="2"/>
  <c r="D238" i="2"/>
  <c r="C238" i="2"/>
  <c r="C249" i="2" s="1"/>
  <c r="C72" i="2" s="1"/>
  <c r="AS234" i="2"/>
  <c r="AR234" i="2"/>
  <c r="AQ234" i="2"/>
  <c r="AP234" i="2"/>
  <c r="AO234" i="2"/>
  <c r="AN234" i="2"/>
  <c r="AM234" i="2"/>
  <c r="AL234" i="2"/>
  <c r="AK234" i="2"/>
  <c r="AJ234" i="2"/>
  <c r="AI234" i="2"/>
  <c r="AH234" i="2"/>
  <c r="AG234" i="2"/>
  <c r="AF234" i="2"/>
  <c r="AE234" i="2"/>
  <c r="AD234" i="2"/>
  <c r="AC234" i="2"/>
  <c r="AB234" i="2"/>
  <c r="AA234" i="2"/>
  <c r="Z234" i="2"/>
  <c r="Y234" i="2"/>
  <c r="X234" i="2"/>
  <c r="W234" i="2"/>
  <c r="V234" i="2"/>
  <c r="U234" i="2"/>
  <c r="T234" i="2"/>
  <c r="S234" i="2"/>
  <c r="R234" i="2"/>
  <c r="Q234" i="2"/>
  <c r="P234" i="2"/>
  <c r="O234" i="2"/>
  <c r="N234" i="2"/>
  <c r="M234" i="2"/>
  <c r="L234" i="2"/>
  <c r="K234" i="2"/>
  <c r="J234" i="2"/>
  <c r="I234" i="2"/>
  <c r="H234" i="2"/>
  <c r="G234" i="2"/>
  <c r="F234" i="2"/>
  <c r="E234" i="2"/>
  <c r="D234" i="2"/>
  <c r="C234" i="2"/>
  <c r="AS233" i="2"/>
  <c r="AR233" i="2"/>
  <c r="AQ233" i="2"/>
  <c r="AP233" i="2"/>
  <c r="AO233" i="2"/>
  <c r="AN233" i="2"/>
  <c r="AM233" i="2"/>
  <c r="AL233" i="2"/>
  <c r="AK233" i="2"/>
  <c r="AJ233" i="2"/>
  <c r="AI233" i="2"/>
  <c r="AH233" i="2"/>
  <c r="AG233" i="2"/>
  <c r="AF233" i="2"/>
  <c r="AE233" i="2"/>
  <c r="AD233" i="2"/>
  <c r="AC233" i="2"/>
  <c r="AB233" i="2"/>
  <c r="AA233" i="2"/>
  <c r="Z233" i="2"/>
  <c r="Y233" i="2"/>
  <c r="X233" i="2"/>
  <c r="W233" i="2"/>
  <c r="V233" i="2"/>
  <c r="U233" i="2"/>
  <c r="T233" i="2"/>
  <c r="S233" i="2"/>
  <c r="R233" i="2"/>
  <c r="Q233" i="2"/>
  <c r="P233" i="2"/>
  <c r="O233" i="2"/>
  <c r="N233" i="2"/>
  <c r="M233" i="2"/>
  <c r="L233" i="2"/>
  <c r="K233" i="2"/>
  <c r="J233" i="2"/>
  <c r="I233" i="2"/>
  <c r="H233" i="2"/>
  <c r="G233" i="2"/>
  <c r="F233" i="2"/>
  <c r="E233" i="2"/>
  <c r="D233" i="2"/>
  <c r="C233" i="2"/>
  <c r="AS232" i="2"/>
  <c r="AR232" i="2"/>
  <c r="AQ232" i="2"/>
  <c r="AP232" i="2"/>
  <c r="AO232" i="2"/>
  <c r="AN232" i="2"/>
  <c r="AM232" i="2"/>
  <c r="AL232" i="2"/>
  <c r="AK232" i="2"/>
  <c r="AJ232" i="2"/>
  <c r="AI232" i="2"/>
  <c r="AH232" i="2"/>
  <c r="AG232" i="2"/>
  <c r="AF232" i="2"/>
  <c r="AE232" i="2"/>
  <c r="AD232" i="2"/>
  <c r="AC232" i="2"/>
  <c r="AB232" i="2"/>
  <c r="AA232" i="2"/>
  <c r="Z232" i="2"/>
  <c r="Y232" i="2"/>
  <c r="X232" i="2"/>
  <c r="W232" i="2"/>
  <c r="V232" i="2"/>
  <c r="U232" i="2"/>
  <c r="T232" i="2"/>
  <c r="S232" i="2"/>
  <c r="R232" i="2"/>
  <c r="Q232" i="2"/>
  <c r="P232" i="2"/>
  <c r="O232" i="2"/>
  <c r="N232" i="2"/>
  <c r="M232" i="2"/>
  <c r="L232" i="2"/>
  <c r="K232" i="2"/>
  <c r="J232" i="2"/>
  <c r="I232" i="2"/>
  <c r="H232" i="2"/>
  <c r="G232" i="2"/>
  <c r="F232" i="2"/>
  <c r="E232" i="2"/>
  <c r="D232" i="2"/>
  <c r="C232" i="2"/>
  <c r="AS231" i="2"/>
  <c r="AR231" i="2"/>
  <c r="AQ231" i="2"/>
  <c r="AP231" i="2"/>
  <c r="AO231" i="2"/>
  <c r="AN231" i="2"/>
  <c r="AM231" i="2"/>
  <c r="AL231" i="2"/>
  <c r="AK231" i="2"/>
  <c r="AJ231" i="2"/>
  <c r="AI231" i="2"/>
  <c r="AH231" i="2"/>
  <c r="AG231" i="2"/>
  <c r="AF231" i="2"/>
  <c r="AE231" i="2"/>
  <c r="AD231" i="2"/>
  <c r="AC231" i="2"/>
  <c r="AB231" i="2"/>
  <c r="AA231" i="2"/>
  <c r="Z231" i="2"/>
  <c r="Y231" i="2"/>
  <c r="X231" i="2"/>
  <c r="W231" i="2"/>
  <c r="V231" i="2"/>
  <c r="U231" i="2"/>
  <c r="T231" i="2"/>
  <c r="S231" i="2"/>
  <c r="R231" i="2"/>
  <c r="Q231" i="2"/>
  <c r="P231" i="2"/>
  <c r="O231" i="2"/>
  <c r="N231" i="2"/>
  <c r="M231" i="2"/>
  <c r="L231" i="2"/>
  <c r="K231" i="2"/>
  <c r="J231" i="2"/>
  <c r="I231" i="2"/>
  <c r="H231" i="2"/>
  <c r="G231" i="2"/>
  <c r="F231" i="2"/>
  <c r="E231" i="2"/>
  <c r="D231" i="2"/>
  <c r="C231" i="2"/>
  <c r="AS230" i="2"/>
  <c r="AR230" i="2"/>
  <c r="AQ230" i="2"/>
  <c r="AP230" i="2"/>
  <c r="AO230" i="2"/>
  <c r="AN230" i="2"/>
  <c r="AM230" i="2"/>
  <c r="AL230" i="2"/>
  <c r="AK230" i="2"/>
  <c r="AJ230" i="2"/>
  <c r="AI230" i="2"/>
  <c r="AH230" i="2"/>
  <c r="AG230" i="2"/>
  <c r="AF230" i="2"/>
  <c r="AE230" i="2"/>
  <c r="AD230" i="2"/>
  <c r="AC230" i="2"/>
  <c r="AB230" i="2"/>
  <c r="AA230" i="2"/>
  <c r="Z230" i="2"/>
  <c r="Y230" i="2"/>
  <c r="X230" i="2"/>
  <c r="W230" i="2"/>
  <c r="V230" i="2"/>
  <c r="U230" i="2"/>
  <c r="T230" i="2"/>
  <c r="S230" i="2"/>
  <c r="R230" i="2"/>
  <c r="Q230" i="2"/>
  <c r="P230" i="2"/>
  <c r="O230" i="2"/>
  <c r="N230" i="2"/>
  <c r="M230" i="2"/>
  <c r="L230" i="2"/>
  <c r="K230" i="2"/>
  <c r="J230" i="2"/>
  <c r="I230" i="2"/>
  <c r="H230" i="2"/>
  <c r="G230" i="2"/>
  <c r="F230" i="2"/>
  <c r="E230" i="2"/>
  <c r="D230" i="2"/>
  <c r="C230" i="2"/>
  <c r="AS229" i="2"/>
  <c r="AR229" i="2"/>
  <c r="AQ229" i="2"/>
  <c r="AP229" i="2"/>
  <c r="AO229" i="2"/>
  <c r="AN229" i="2"/>
  <c r="AM229" i="2"/>
  <c r="AL229" i="2"/>
  <c r="AK229" i="2"/>
  <c r="AJ229" i="2"/>
  <c r="AI229" i="2"/>
  <c r="AH229" i="2"/>
  <c r="AG229" i="2"/>
  <c r="AF229" i="2"/>
  <c r="AE229" i="2"/>
  <c r="AD229" i="2"/>
  <c r="AC229" i="2"/>
  <c r="AB229" i="2"/>
  <c r="AA229" i="2"/>
  <c r="Z229" i="2"/>
  <c r="Y229" i="2"/>
  <c r="X229" i="2"/>
  <c r="W229" i="2"/>
  <c r="V229" i="2"/>
  <c r="U229" i="2"/>
  <c r="T229" i="2"/>
  <c r="S229" i="2"/>
  <c r="R229" i="2"/>
  <c r="Q229" i="2"/>
  <c r="P229" i="2"/>
  <c r="O229" i="2"/>
  <c r="N229" i="2"/>
  <c r="M229" i="2"/>
  <c r="L229" i="2"/>
  <c r="K229" i="2"/>
  <c r="J229" i="2"/>
  <c r="I229" i="2"/>
  <c r="H229" i="2"/>
  <c r="G229" i="2"/>
  <c r="F229" i="2"/>
  <c r="E229" i="2"/>
  <c r="D229" i="2"/>
  <c r="C229" i="2"/>
  <c r="AS228" i="2"/>
  <c r="AR228" i="2"/>
  <c r="AQ228" i="2"/>
  <c r="AP228" i="2"/>
  <c r="AO228" i="2"/>
  <c r="AN228" i="2"/>
  <c r="AM228" i="2"/>
  <c r="AL228" i="2"/>
  <c r="AK228" i="2"/>
  <c r="AJ228" i="2"/>
  <c r="AI228" i="2"/>
  <c r="AH228" i="2"/>
  <c r="AG228" i="2"/>
  <c r="AF228" i="2"/>
  <c r="AE228" i="2"/>
  <c r="AD228" i="2"/>
  <c r="AC228" i="2"/>
  <c r="AB228" i="2"/>
  <c r="AA228" i="2"/>
  <c r="Z228" i="2"/>
  <c r="Y228" i="2"/>
  <c r="X228" i="2"/>
  <c r="W228" i="2"/>
  <c r="V228" i="2"/>
  <c r="U228" i="2"/>
  <c r="T228" i="2"/>
  <c r="S228" i="2"/>
  <c r="R228" i="2"/>
  <c r="Q228" i="2"/>
  <c r="P228" i="2"/>
  <c r="O228" i="2"/>
  <c r="N228" i="2"/>
  <c r="M228" i="2"/>
  <c r="L228" i="2"/>
  <c r="K228" i="2"/>
  <c r="J228" i="2"/>
  <c r="I228" i="2"/>
  <c r="H228" i="2"/>
  <c r="G228" i="2"/>
  <c r="F228" i="2"/>
  <c r="E228" i="2"/>
  <c r="D228" i="2"/>
  <c r="C228" i="2"/>
  <c r="AS227" i="2"/>
  <c r="AR227" i="2"/>
  <c r="AQ227" i="2"/>
  <c r="AP227" i="2"/>
  <c r="AO227" i="2"/>
  <c r="AN227" i="2"/>
  <c r="AM227" i="2"/>
  <c r="AL227" i="2"/>
  <c r="AK227" i="2"/>
  <c r="AJ227" i="2"/>
  <c r="AI227" i="2"/>
  <c r="AH227" i="2"/>
  <c r="AG227" i="2"/>
  <c r="AF227" i="2"/>
  <c r="AE227" i="2"/>
  <c r="AD227" i="2"/>
  <c r="AC227" i="2"/>
  <c r="AB227" i="2"/>
  <c r="AA227" i="2"/>
  <c r="Z227" i="2"/>
  <c r="Y227" i="2"/>
  <c r="X227" i="2"/>
  <c r="W227" i="2"/>
  <c r="V227" i="2"/>
  <c r="U227" i="2"/>
  <c r="T227" i="2"/>
  <c r="S227" i="2"/>
  <c r="R227" i="2"/>
  <c r="Q227" i="2"/>
  <c r="P227" i="2"/>
  <c r="O227" i="2"/>
  <c r="N227" i="2"/>
  <c r="M227" i="2"/>
  <c r="L227" i="2"/>
  <c r="K227" i="2"/>
  <c r="J227" i="2"/>
  <c r="I227" i="2"/>
  <c r="H227" i="2"/>
  <c r="G227" i="2"/>
  <c r="F227" i="2"/>
  <c r="E227" i="2"/>
  <c r="D227" i="2"/>
  <c r="C227" i="2"/>
  <c r="AS226" i="2"/>
  <c r="AR226" i="2"/>
  <c r="AQ226" i="2"/>
  <c r="AP226" i="2"/>
  <c r="AO226" i="2"/>
  <c r="AN226" i="2"/>
  <c r="AM226" i="2"/>
  <c r="AL226" i="2"/>
  <c r="AK226" i="2"/>
  <c r="AJ226" i="2"/>
  <c r="AI226" i="2"/>
  <c r="AH226" i="2"/>
  <c r="AG226" i="2"/>
  <c r="AF226" i="2"/>
  <c r="AE226" i="2"/>
  <c r="AD226" i="2"/>
  <c r="AC226" i="2"/>
  <c r="AB226" i="2"/>
  <c r="AA226" i="2"/>
  <c r="Z226" i="2"/>
  <c r="Y226" i="2"/>
  <c r="X226" i="2"/>
  <c r="W226" i="2"/>
  <c r="V226" i="2"/>
  <c r="U226" i="2"/>
  <c r="T226" i="2"/>
  <c r="S226" i="2"/>
  <c r="R226" i="2"/>
  <c r="Q226" i="2"/>
  <c r="P226" i="2"/>
  <c r="O226" i="2"/>
  <c r="N226" i="2"/>
  <c r="M226" i="2"/>
  <c r="L226" i="2"/>
  <c r="K226" i="2"/>
  <c r="J226" i="2"/>
  <c r="I226" i="2"/>
  <c r="H226" i="2"/>
  <c r="G226" i="2"/>
  <c r="F226" i="2"/>
  <c r="E226" i="2"/>
  <c r="D226" i="2"/>
  <c r="C226" i="2"/>
  <c r="AS225" i="2"/>
  <c r="AR225" i="2"/>
  <c r="AQ225" i="2"/>
  <c r="AP225" i="2"/>
  <c r="AO225" i="2"/>
  <c r="AN225" i="2"/>
  <c r="AM225" i="2"/>
  <c r="AL225" i="2"/>
  <c r="AK225" i="2"/>
  <c r="AJ225" i="2"/>
  <c r="AI225" i="2"/>
  <c r="AH225" i="2"/>
  <c r="AG225" i="2"/>
  <c r="AF225" i="2"/>
  <c r="AE225" i="2"/>
  <c r="AD225" i="2"/>
  <c r="AC225" i="2"/>
  <c r="AB225" i="2"/>
  <c r="AA225" i="2"/>
  <c r="Z225" i="2"/>
  <c r="Y225" i="2"/>
  <c r="X225" i="2"/>
  <c r="W225" i="2"/>
  <c r="V225" i="2"/>
  <c r="U225" i="2"/>
  <c r="T225" i="2"/>
  <c r="S225" i="2"/>
  <c r="R225" i="2"/>
  <c r="Q225" i="2"/>
  <c r="P225" i="2"/>
  <c r="O225" i="2"/>
  <c r="N225" i="2"/>
  <c r="M225" i="2"/>
  <c r="L225" i="2"/>
  <c r="K225" i="2"/>
  <c r="J225" i="2"/>
  <c r="I225" i="2"/>
  <c r="H225" i="2"/>
  <c r="G225" i="2"/>
  <c r="F225" i="2"/>
  <c r="E225" i="2"/>
  <c r="D225" i="2"/>
  <c r="C225" i="2"/>
  <c r="AS224" i="2"/>
  <c r="AR224" i="2"/>
  <c r="AQ224" i="2"/>
  <c r="AP224" i="2"/>
  <c r="AP235" i="2" s="1"/>
  <c r="AO224" i="2"/>
  <c r="AN224" i="2"/>
  <c r="AM224" i="2"/>
  <c r="AL224" i="2"/>
  <c r="AK224" i="2"/>
  <c r="AJ224" i="2"/>
  <c r="AI224" i="2"/>
  <c r="AH224" i="2"/>
  <c r="AG224" i="2"/>
  <c r="AF224" i="2"/>
  <c r="AE224" i="2"/>
  <c r="AD224" i="2"/>
  <c r="AC224" i="2"/>
  <c r="AB224" i="2"/>
  <c r="AA224" i="2"/>
  <c r="Z224" i="2"/>
  <c r="Y224" i="2"/>
  <c r="X224" i="2"/>
  <c r="W224" i="2"/>
  <c r="V224" i="2"/>
  <c r="U224" i="2"/>
  <c r="T224" i="2"/>
  <c r="S224" i="2"/>
  <c r="R224" i="2"/>
  <c r="Q224" i="2"/>
  <c r="P224" i="2"/>
  <c r="O224" i="2"/>
  <c r="N224" i="2"/>
  <c r="M224" i="2"/>
  <c r="L224" i="2"/>
  <c r="K224" i="2"/>
  <c r="J224" i="2"/>
  <c r="I224" i="2"/>
  <c r="H224" i="2"/>
  <c r="G224" i="2"/>
  <c r="F224" i="2"/>
  <c r="E224" i="2"/>
  <c r="D224" i="2"/>
  <c r="C224" i="2"/>
  <c r="J221" i="2"/>
  <c r="J60" i="2" s="1"/>
  <c r="AS220" i="2"/>
  <c r="AR220" i="2"/>
  <c r="AQ220" i="2"/>
  <c r="AP220" i="2"/>
  <c r="AO220" i="2"/>
  <c r="AN220" i="2"/>
  <c r="AM220" i="2"/>
  <c r="AL220" i="2"/>
  <c r="AK220" i="2"/>
  <c r="AJ220" i="2"/>
  <c r="AI220" i="2"/>
  <c r="AH220" i="2"/>
  <c r="AG220" i="2"/>
  <c r="AF220" i="2"/>
  <c r="AE220" i="2"/>
  <c r="AD220" i="2"/>
  <c r="AC220" i="2"/>
  <c r="AB220" i="2"/>
  <c r="AA220" i="2"/>
  <c r="Z220" i="2"/>
  <c r="Y220" i="2"/>
  <c r="X220" i="2"/>
  <c r="W220" i="2"/>
  <c r="V220" i="2"/>
  <c r="U220" i="2"/>
  <c r="T220" i="2"/>
  <c r="S220" i="2"/>
  <c r="S221" i="2" s="1"/>
  <c r="S60" i="2" s="1"/>
  <c r="R220" i="2"/>
  <c r="Q220" i="2"/>
  <c r="P220" i="2"/>
  <c r="O220" i="2"/>
  <c r="N220" i="2"/>
  <c r="M220" i="2"/>
  <c r="L220" i="2"/>
  <c r="K220" i="2"/>
  <c r="J220" i="2"/>
  <c r="I220" i="2"/>
  <c r="H220" i="2"/>
  <c r="G220" i="2"/>
  <c r="F220" i="2"/>
  <c r="E220" i="2"/>
  <c r="D220" i="2"/>
  <c r="C220" i="2"/>
  <c r="AS219" i="2"/>
  <c r="AR219" i="2"/>
  <c r="AQ219" i="2"/>
  <c r="AP219" i="2"/>
  <c r="AO219" i="2"/>
  <c r="AN219" i="2"/>
  <c r="AM219" i="2"/>
  <c r="AL219" i="2"/>
  <c r="AK219" i="2"/>
  <c r="AJ219" i="2"/>
  <c r="AI219" i="2"/>
  <c r="AH219" i="2"/>
  <c r="AG219" i="2"/>
  <c r="AF219" i="2"/>
  <c r="AE219" i="2"/>
  <c r="AD219" i="2"/>
  <c r="AC219" i="2"/>
  <c r="AB219" i="2"/>
  <c r="AA219" i="2"/>
  <c r="Z219" i="2"/>
  <c r="Y219" i="2"/>
  <c r="X219" i="2"/>
  <c r="W219" i="2"/>
  <c r="V219" i="2"/>
  <c r="U219" i="2"/>
  <c r="T219" i="2"/>
  <c r="S219" i="2"/>
  <c r="R219" i="2"/>
  <c r="Q219" i="2"/>
  <c r="P219" i="2"/>
  <c r="O219" i="2"/>
  <c r="N219" i="2"/>
  <c r="M219" i="2"/>
  <c r="L219" i="2"/>
  <c r="K219" i="2"/>
  <c r="J219" i="2"/>
  <c r="I219" i="2"/>
  <c r="H219" i="2"/>
  <c r="G219" i="2"/>
  <c r="F219" i="2"/>
  <c r="E219" i="2"/>
  <c r="D219" i="2"/>
  <c r="C219" i="2"/>
  <c r="AS218" i="2"/>
  <c r="AR218" i="2"/>
  <c r="AQ218" i="2"/>
  <c r="AP218" i="2"/>
  <c r="AO218" i="2"/>
  <c r="AN218" i="2"/>
  <c r="AM218" i="2"/>
  <c r="AL218" i="2"/>
  <c r="AK218" i="2"/>
  <c r="AJ218" i="2"/>
  <c r="AI218" i="2"/>
  <c r="AH218" i="2"/>
  <c r="AG218" i="2"/>
  <c r="AF218" i="2"/>
  <c r="AE218" i="2"/>
  <c r="AD218" i="2"/>
  <c r="AC218" i="2"/>
  <c r="AB218" i="2"/>
  <c r="AA218" i="2"/>
  <c r="Z218" i="2"/>
  <c r="Y218" i="2"/>
  <c r="X218" i="2"/>
  <c r="W218" i="2"/>
  <c r="V218" i="2"/>
  <c r="U218" i="2"/>
  <c r="T218" i="2"/>
  <c r="S218" i="2"/>
  <c r="R218" i="2"/>
  <c r="Q218" i="2"/>
  <c r="P218" i="2"/>
  <c r="O218" i="2"/>
  <c r="N218" i="2"/>
  <c r="M218" i="2"/>
  <c r="L218" i="2"/>
  <c r="K218" i="2"/>
  <c r="J218" i="2"/>
  <c r="I218" i="2"/>
  <c r="H218" i="2"/>
  <c r="G218" i="2"/>
  <c r="F218" i="2"/>
  <c r="E218" i="2"/>
  <c r="D218" i="2"/>
  <c r="C218" i="2"/>
  <c r="AS217" i="2"/>
  <c r="AR217" i="2"/>
  <c r="AQ217" i="2"/>
  <c r="AP217" i="2"/>
  <c r="AO217" i="2"/>
  <c r="AN217" i="2"/>
  <c r="AM217" i="2"/>
  <c r="AL217" i="2"/>
  <c r="AK217" i="2"/>
  <c r="AJ217" i="2"/>
  <c r="AI217" i="2"/>
  <c r="AH217" i="2"/>
  <c r="AG217" i="2"/>
  <c r="AF217" i="2"/>
  <c r="AE217" i="2"/>
  <c r="AD217" i="2"/>
  <c r="AC217" i="2"/>
  <c r="AB217" i="2"/>
  <c r="AA217" i="2"/>
  <c r="Z217" i="2"/>
  <c r="Y217" i="2"/>
  <c r="X217" i="2"/>
  <c r="W217" i="2"/>
  <c r="V217" i="2"/>
  <c r="U217" i="2"/>
  <c r="T217" i="2"/>
  <c r="S217" i="2"/>
  <c r="R217" i="2"/>
  <c r="Q217" i="2"/>
  <c r="P217" i="2"/>
  <c r="O217" i="2"/>
  <c r="N217" i="2"/>
  <c r="M217" i="2"/>
  <c r="L217" i="2"/>
  <c r="K217" i="2"/>
  <c r="J217" i="2"/>
  <c r="I217" i="2"/>
  <c r="H217" i="2"/>
  <c r="G217" i="2"/>
  <c r="F217" i="2"/>
  <c r="E217" i="2"/>
  <c r="D217" i="2"/>
  <c r="C217" i="2"/>
  <c r="AS216" i="2"/>
  <c r="AR216" i="2"/>
  <c r="AQ216" i="2"/>
  <c r="AP216" i="2"/>
  <c r="AO216" i="2"/>
  <c r="AN216" i="2"/>
  <c r="AM216" i="2"/>
  <c r="AL216" i="2"/>
  <c r="AK216" i="2"/>
  <c r="AJ216" i="2"/>
  <c r="AI216" i="2"/>
  <c r="AH216" i="2"/>
  <c r="AG216" i="2"/>
  <c r="AF216" i="2"/>
  <c r="AE216" i="2"/>
  <c r="AD216" i="2"/>
  <c r="AC216" i="2"/>
  <c r="AB216" i="2"/>
  <c r="AA216" i="2"/>
  <c r="Z216" i="2"/>
  <c r="Y216" i="2"/>
  <c r="X216" i="2"/>
  <c r="W216" i="2"/>
  <c r="V216" i="2"/>
  <c r="U216" i="2"/>
  <c r="T216" i="2"/>
  <c r="S216" i="2"/>
  <c r="R216" i="2"/>
  <c r="Q216" i="2"/>
  <c r="P216" i="2"/>
  <c r="O216" i="2"/>
  <c r="N216" i="2"/>
  <c r="M216" i="2"/>
  <c r="L216" i="2"/>
  <c r="K216" i="2"/>
  <c r="J216" i="2"/>
  <c r="I216" i="2"/>
  <c r="H216" i="2"/>
  <c r="G216" i="2"/>
  <c r="F216" i="2"/>
  <c r="E216" i="2"/>
  <c r="D216" i="2"/>
  <c r="C216" i="2"/>
  <c r="AS215" i="2"/>
  <c r="AR215" i="2"/>
  <c r="AQ215" i="2"/>
  <c r="AP215" i="2"/>
  <c r="AO215" i="2"/>
  <c r="AN215" i="2"/>
  <c r="AM215" i="2"/>
  <c r="AL215" i="2"/>
  <c r="AK215" i="2"/>
  <c r="AJ215" i="2"/>
  <c r="AI215" i="2"/>
  <c r="AH215" i="2"/>
  <c r="AG215" i="2"/>
  <c r="AF215" i="2"/>
  <c r="AE215" i="2"/>
  <c r="AD215" i="2"/>
  <c r="AC215" i="2"/>
  <c r="AB215" i="2"/>
  <c r="AA215" i="2"/>
  <c r="Z215" i="2"/>
  <c r="Y215" i="2"/>
  <c r="X215" i="2"/>
  <c r="W215" i="2"/>
  <c r="V215" i="2"/>
  <c r="U215" i="2"/>
  <c r="T215" i="2"/>
  <c r="S215" i="2"/>
  <c r="R215" i="2"/>
  <c r="Q215" i="2"/>
  <c r="P215" i="2"/>
  <c r="O215" i="2"/>
  <c r="N215" i="2"/>
  <c r="M215" i="2"/>
  <c r="L215" i="2"/>
  <c r="K215" i="2"/>
  <c r="J215" i="2"/>
  <c r="I215" i="2"/>
  <c r="H215" i="2"/>
  <c r="G215" i="2"/>
  <c r="F215" i="2"/>
  <c r="E215" i="2"/>
  <c r="D215" i="2"/>
  <c r="C215" i="2"/>
  <c r="AS214" i="2"/>
  <c r="AR214" i="2"/>
  <c r="AQ214" i="2"/>
  <c r="AP214" i="2"/>
  <c r="AO214" i="2"/>
  <c r="AN214" i="2"/>
  <c r="AM214" i="2"/>
  <c r="AL214" i="2"/>
  <c r="AK214" i="2"/>
  <c r="AJ214" i="2"/>
  <c r="AI214" i="2"/>
  <c r="AH214" i="2"/>
  <c r="AG214" i="2"/>
  <c r="AF214" i="2"/>
  <c r="AE214" i="2"/>
  <c r="AD214" i="2"/>
  <c r="AC214" i="2"/>
  <c r="AB214" i="2"/>
  <c r="AA214" i="2"/>
  <c r="Z214" i="2"/>
  <c r="Y214" i="2"/>
  <c r="X214" i="2"/>
  <c r="W214" i="2"/>
  <c r="V214" i="2"/>
  <c r="U214" i="2"/>
  <c r="T214" i="2"/>
  <c r="S214" i="2"/>
  <c r="R214" i="2"/>
  <c r="Q214" i="2"/>
  <c r="P214" i="2"/>
  <c r="O214" i="2"/>
  <c r="N214" i="2"/>
  <c r="M214" i="2"/>
  <c r="L214" i="2"/>
  <c r="K214" i="2"/>
  <c r="J214" i="2"/>
  <c r="I214" i="2"/>
  <c r="H214" i="2"/>
  <c r="G214" i="2"/>
  <c r="F214" i="2"/>
  <c r="E214" i="2"/>
  <c r="D214" i="2"/>
  <c r="C214" i="2"/>
  <c r="AS213" i="2"/>
  <c r="AR213" i="2"/>
  <c r="AQ213" i="2"/>
  <c r="AP213" i="2"/>
  <c r="AO213" i="2"/>
  <c r="AN213" i="2"/>
  <c r="AM213" i="2"/>
  <c r="AL213" i="2"/>
  <c r="AK213" i="2"/>
  <c r="AJ213" i="2"/>
  <c r="AI213" i="2"/>
  <c r="AH213" i="2"/>
  <c r="AG213" i="2"/>
  <c r="AF213" i="2"/>
  <c r="AE213" i="2"/>
  <c r="AD213" i="2"/>
  <c r="AC213" i="2"/>
  <c r="AB213" i="2"/>
  <c r="AA213" i="2"/>
  <c r="Z213" i="2"/>
  <c r="Y213" i="2"/>
  <c r="X213" i="2"/>
  <c r="W213" i="2"/>
  <c r="V213" i="2"/>
  <c r="U213" i="2"/>
  <c r="T213" i="2"/>
  <c r="S213" i="2"/>
  <c r="R213" i="2"/>
  <c r="Q213" i="2"/>
  <c r="P213" i="2"/>
  <c r="O213" i="2"/>
  <c r="N213" i="2"/>
  <c r="M213" i="2"/>
  <c r="L213" i="2"/>
  <c r="K213" i="2"/>
  <c r="J213" i="2"/>
  <c r="I213" i="2"/>
  <c r="H213" i="2"/>
  <c r="G213" i="2"/>
  <c r="F213" i="2"/>
  <c r="E213" i="2"/>
  <c r="D213" i="2"/>
  <c r="C213" i="2"/>
  <c r="AS212" i="2"/>
  <c r="AR212" i="2"/>
  <c r="AQ212" i="2"/>
  <c r="AP212" i="2"/>
  <c r="AO212" i="2"/>
  <c r="AN212" i="2"/>
  <c r="AM212" i="2"/>
  <c r="AL212" i="2"/>
  <c r="AK212" i="2"/>
  <c r="AJ212" i="2"/>
  <c r="AI212" i="2"/>
  <c r="AH212" i="2"/>
  <c r="AG212" i="2"/>
  <c r="AF212" i="2"/>
  <c r="AE212" i="2"/>
  <c r="AD212" i="2"/>
  <c r="AC212" i="2"/>
  <c r="AB212" i="2"/>
  <c r="AA212" i="2"/>
  <c r="Z212" i="2"/>
  <c r="Y212" i="2"/>
  <c r="X212" i="2"/>
  <c r="W212" i="2"/>
  <c r="V212" i="2"/>
  <c r="U212" i="2"/>
  <c r="T212" i="2"/>
  <c r="S212" i="2"/>
  <c r="R212" i="2"/>
  <c r="Q212" i="2"/>
  <c r="P212" i="2"/>
  <c r="O212" i="2"/>
  <c r="N212" i="2"/>
  <c r="M212" i="2"/>
  <c r="L212" i="2"/>
  <c r="K212" i="2"/>
  <c r="J212" i="2"/>
  <c r="I212" i="2"/>
  <c r="H212" i="2"/>
  <c r="G212" i="2"/>
  <c r="F212" i="2"/>
  <c r="E212" i="2"/>
  <c r="D212" i="2"/>
  <c r="C212" i="2"/>
  <c r="AS211" i="2"/>
  <c r="AR211" i="2"/>
  <c r="AQ211" i="2"/>
  <c r="AP211" i="2"/>
  <c r="AO211" i="2"/>
  <c r="AN211" i="2"/>
  <c r="AM211" i="2"/>
  <c r="AL211" i="2"/>
  <c r="AK211" i="2"/>
  <c r="AJ211" i="2"/>
  <c r="AI211" i="2"/>
  <c r="AH211" i="2"/>
  <c r="AG211" i="2"/>
  <c r="AF211" i="2"/>
  <c r="AE211" i="2"/>
  <c r="AD211" i="2"/>
  <c r="AC211" i="2"/>
  <c r="AB211" i="2"/>
  <c r="AA211" i="2"/>
  <c r="Z211" i="2"/>
  <c r="Y211" i="2"/>
  <c r="X211" i="2"/>
  <c r="W211" i="2"/>
  <c r="V211" i="2"/>
  <c r="U211" i="2"/>
  <c r="T211" i="2"/>
  <c r="S211" i="2"/>
  <c r="R211" i="2"/>
  <c r="Q211" i="2"/>
  <c r="P211" i="2"/>
  <c r="O211" i="2"/>
  <c r="N211" i="2"/>
  <c r="M211" i="2"/>
  <c r="L211" i="2"/>
  <c r="K211" i="2"/>
  <c r="J211" i="2"/>
  <c r="I211" i="2"/>
  <c r="H211" i="2"/>
  <c r="G211" i="2"/>
  <c r="F211" i="2"/>
  <c r="E211" i="2"/>
  <c r="D211" i="2"/>
  <c r="C211" i="2"/>
  <c r="AS210" i="2"/>
  <c r="AS221" i="2" s="1"/>
  <c r="AS60" i="2" s="1"/>
  <c r="AR210" i="2"/>
  <c r="AQ210" i="2"/>
  <c r="AP210" i="2"/>
  <c r="AO210" i="2"/>
  <c r="AN210" i="2"/>
  <c r="AM210" i="2"/>
  <c r="AL210" i="2"/>
  <c r="AK210" i="2"/>
  <c r="AJ210" i="2"/>
  <c r="AI210" i="2"/>
  <c r="AH210" i="2"/>
  <c r="AG210" i="2"/>
  <c r="AF210" i="2"/>
  <c r="AE210" i="2"/>
  <c r="AE221" i="2" s="1"/>
  <c r="AE60" i="2" s="1"/>
  <c r="AD210" i="2"/>
  <c r="AC210" i="2"/>
  <c r="AB210" i="2"/>
  <c r="AA210" i="2"/>
  <c r="Z210" i="2"/>
  <c r="Y210" i="2"/>
  <c r="X210" i="2"/>
  <c r="W210" i="2"/>
  <c r="V210" i="2"/>
  <c r="U210" i="2"/>
  <c r="T210" i="2"/>
  <c r="S210" i="2"/>
  <c r="R210" i="2"/>
  <c r="Q210" i="2"/>
  <c r="P210" i="2"/>
  <c r="O210" i="2"/>
  <c r="N210" i="2"/>
  <c r="M210" i="2"/>
  <c r="L210" i="2"/>
  <c r="K210" i="2"/>
  <c r="J210" i="2"/>
  <c r="I210" i="2"/>
  <c r="H210" i="2"/>
  <c r="G210" i="2"/>
  <c r="F210" i="2"/>
  <c r="E210" i="2"/>
  <c r="D210" i="2"/>
  <c r="C210" i="2"/>
  <c r="AS206" i="2"/>
  <c r="AR206" i="2"/>
  <c r="AQ206" i="2"/>
  <c r="AP206" i="2"/>
  <c r="AO206" i="2"/>
  <c r="AN206" i="2"/>
  <c r="AM206" i="2"/>
  <c r="AL206" i="2"/>
  <c r="AK206" i="2"/>
  <c r="AJ206" i="2"/>
  <c r="AI206" i="2"/>
  <c r="AH206" i="2"/>
  <c r="AG206" i="2"/>
  <c r="AF206" i="2"/>
  <c r="AE206" i="2"/>
  <c r="AD206" i="2"/>
  <c r="AC206" i="2"/>
  <c r="AB206" i="2"/>
  <c r="AA206" i="2"/>
  <c r="Z206" i="2"/>
  <c r="Y206" i="2"/>
  <c r="X206" i="2"/>
  <c r="W206" i="2"/>
  <c r="V206" i="2"/>
  <c r="U206" i="2"/>
  <c r="T206" i="2"/>
  <c r="S206" i="2"/>
  <c r="R206" i="2"/>
  <c r="Q206" i="2"/>
  <c r="Q207" i="2" s="1"/>
  <c r="Q57" i="2" s="1"/>
  <c r="P206" i="2"/>
  <c r="O206" i="2"/>
  <c r="N206" i="2"/>
  <c r="M206" i="2"/>
  <c r="L206" i="2"/>
  <c r="K206" i="2"/>
  <c r="J206" i="2"/>
  <c r="I206" i="2"/>
  <c r="H206" i="2"/>
  <c r="G206" i="2"/>
  <c r="F206" i="2"/>
  <c r="E206" i="2"/>
  <c r="D206" i="2"/>
  <c r="C206" i="2"/>
  <c r="AS205" i="2"/>
  <c r="AR205" i="2"/>
  <c r="AQ205" i="2"/>
  <c r="AP205" i="2"/>
  <c r="AO205" i="2"/>
  <c r="AN205" i="2"/>
  <c r="AM205" i="2"/>
  <c r="AL205" i="2"/>
  <c r="AK205" i="2"/>
  <c r="AJ205" i="2"/>
  <c r="AI205" i="2"/>
  <c r="AH205" i="2"/>
  <c r="AG205" i="2"/>
  <c r="AF205" i="2"/>
  <c r="AE205" i="2"/>
  <c r="AD205" i="2"/>
  <c r="AC205" i="2"/>
  <c r="AB205" i="2"/>
  <c r="AA205" i="2"/>
  <c r="Z205" i="2"/>
  <c r="Y205" i="2"/>
  <c r="X205" i="2"/>
  <c r="W205" i="2"/>
  <c r="V205" i="2"/>
  <c r="U205" i="2"/>
  <c r="T205" i="2"/>
  <c r="S205" i="2"/>
  <c r="R205" i="2"/>
  <c r="Q205" i="2"/>
  <c r="P205" i="2"/>
  <c r="O205" i="2"/>
  <c r="N205" i="2"/>
  <c r="M205" i="2"/>
  <c r="L205" i="2"/>
  <c r="K205" i="2"/>
  <c r="J205" i="2"/>
  <c r="I205" i="2"/>
  <c r="H205" i="2"/>
  <c r="G205" i="2"/>
  <c r="F205" i="2"/>
  <c r="E205" i="2"/>
  <c r="D205" i="2"/>
  <c r="C205" i="2"/>
  <c r="AS204" i="2"/>
  <c r="AR204" i="2"/>
  <c r="AQ204" i="2"/>
  <c r="AP204" i="2"/>
  <c r="AO204" i="2"/>
  <c r="AN204" i="2"/>
  <c r="AM204" i="2"/>
  <c r="AL204" i="2"/>
  <c r="AK204" i="2"/>
  <c r="AJ204" i="2"/>
  <c r="AI204" i="2"/>
  <c r="AH204" i="2"/>
  <c r="AG204" i="2"/>
  <c r="AF204" i="2"/>
  <c r="AE204" i="2"/>
  <c r="AD204" i="2"/>
  <c r="AC204" i="2"/>
  <c r="AB204" i="2"/>
  <c r="AA204" i="2"/>
  <c r="Z204" i="2"/>
  <c r="Y204" i="2"/>
  <c r="X204" i="2"/>
  <c r="W204" i="2"/>
  <c r="V204" i="2"/>
  <c r="U204" i="2"/>
  <c r="T204" i="2"/>
  <c r="S204" i="2"/>
  <c r="R204" i="2"/>
  <c r="Q204" i="2"/>
  <c r="P204" i="2"/>
  <c r="O204" i="2"/>
  <c r="N204" i="2"/>
  <c r="M204" i="2"/>
  <c r="L204" i="2"/>
  <c r="K204" i="2"/>
  <c r="J204" i="2"/>
  <c r="I204" i="2"/>
  <c r="H204" i="2"/>
  <c r="G204" i="2"/>
  <c r="F204" i="2"/>
  <c r="E204" i="2"/>
  <c r="D204" i="2"/>
  <c r="C204" i="2"/>
  <c r="AS203" i="2"/>
  <c r="AR203" i="2"/>
  <c r="AQ203" i="2"/>
  <c r="AP203" i="2"/>
  <c r="AO203" i="2"/>
  <c r="AN203" i="2"/>
  <c r="AM203" i="2"/>
  <c r="AL203" i="2"/>
  <c r="AK203" i="2"/>
  <c r="AJ203" i="2"/>
  <c r="AI203" i="2"/>
  <c r="AH203" i="2"/>
  <c r="AG203" i="2"/>
  <c r="AF203" i="2"/>
  <c r="AE203" i="2"/>
  <c r="AD203" i="2"/>
  <c r="AC203" i="2"/>
  <c r="AB203" i="2"/>
  <c r="AA203" i="2"/>
  <c r="Z203" i="2"/>
  <c r="Y203" i="2"/>
  <c r="X203" i="2"/>
  <c r="W203" i="2"/>
  <c r="V203" i="2"/>
  <c r="U203" i="2"/>
  <c r="T203" i="2"/>
  <c r="S203" i="2"/>
  <c r="R203" i="2"/>
  <c r="Q203" i="2"/>
  <c r="P203" i="2"/>
  <c r="O203" i="2"/>
  <c r="N203" i="2"/>
  <c r="M203" i="2"/>
  <c r="L203" i="2"/>
  <c r="K203" i="2"/>
  <c r="J203" i="2"/>
  <c r="I203" i="2"/>
  <c r="H203" i="2"/>
  <c r="G203" i="2"/>
  <c r="F203" i="2"/>
  <c r="E203" i="2"/>
  <c r="D203" i="2"/>
  <c r="C203" i="2"/>
  <c r="AS202" i="2"/>
  <c r="AR202" i="2"/>
  <c r="AQ202" i="2"/>
  <c r="AP202" i="2"/>
  <c r="AO202" i="2"/>
  <c r="AN202" i="2"/>
  <c r="AM202" i="2"/>
  <c r="AL202" i="2"/>
  <c r="AK202" i="2"/>
  <c r="AJ202" i="2"/>
  <c r="AI202" i="2"/>
  <c r="AH202" i="2"/>
  <c r="AG202" i="2"/>
  <c r="AF202" i="2"/>
  <c r="AE202" i="2"/>
  <c r="AD202" i="2"/>
  <c r="AC202" i="2"/>
  <c r="AB202" i="2"/>
  <c r="AA202" i="2"/>
  <c r="Z202" i="2"/>
  <c r="Y202" i="2"/>
  <c r="X202" i="2"/>
  <c r="W202" i="2"/>
  <c r="V202" i="2"/>
  <c r="U202" i="2"/>
  <c r="T202" i="2"/>
  <c r="S202" i="2"/>
  <c r="R202" i="2"/>
  <c r="Q202" i="2"/>
  <c r="P202" i="2"/>
  <c r="O202" i="2"/>
  <c r="N202" i="2"/>
  <c r="M202" i="2"/>
  <c r="L202" i="2"/>
  <c r="K202" i="2"/>
  <c r="J202" i="2"/>
  <c r="I202" i="2"/>
  <c r="H202" i="2"/>
  <c r="G202" i="2"/>
  <c r="F202" i="2"/>
  <c r="E202" i="2"/>
  <c r="D202" i="2"/>
  <c r="C202" i="2"/>
  <c r="AS201" i="2"/>
  <c r="AR201" i="2"/>
  <c r="AQ201" i="2"/>
  <c r="AP201" i="2"/>
  <c r="AO201" i="2"/>
  <c r="AN201" i="2"/>
  <c r="AM201" i="2"/>
  <c r="AL201" i="2"/>
  <c r="AK201" i="2"/>
  <c r="AJ201" i="2"/>
  <c r="AI201" i="2"/>
  <c r="AH201" i="2"/>
  <c r="AG201" i="2"/>
  <c r="AF201" i="2"/>
  <c r="AE201" i="2"/>
  <c r="AD201" i="2"/>
  <c r="AC201" i="2"/>
  <c r="AB201" i="2"/>
  <c r="AA201" i="2"/>
  <c r="Z201" i="2"/>
  <c r="Y201" i="2"/>
  <c r="X201" i="2"/>
  <c r="W201" i="2"/>
  <c r="V201" i="2"/>
  <c r="U201" i="2"/>
  <c r="T201" i="2"/>
  <c r="S201" i="2"/>
  <c r="R201" i="2"/>
  <c r="Q201" i="2"/>
  <c r="P201" i="2"/>
  <c r="O201" i="2"/>
  <c r="N201" i="2"/>
  <c r="M201" i="2"/>
  <c r="L201" i="2"/>
  <c r="K201" i="2"/>
  <c r="J201" i="2"/>
  <c r="I201" i="2"/>
  <c r="H201" i="2"/>
  <c r="G201" i="2"/>
  <c r="F201" i="2"/>
  <c r="E201" i="2"/>
  <c r="D201" i="2"/>
  <c r="C201" i="2"/>
  <c r="AS200" i="2"/>
  <c r="AR200" i="2"/>
  <c r="AQ200" i="2"/>
  <c r="AP200" i="2"/>
  <c r="AO200" i="2"/>
  <c r="AN200" i="2"/>
  <c r="AM200" i="2"/>
  <c r="AL200" i="2"/>
  <c r="AK200" i="2"/>
  <c r="AJ200" i="2"/>
  <c r="AI200" i="2"/>
  <c r="AH200" i="2"/>
  <c r="AG200" i="2"/>
  <c r="AF200" i="2"/>
  <c r="AE200" i="2"/>
  <c r="AD200" i="2"/>
  <c r="AC200" i="2"/>
  <c r="AB200" i="2"/>
  <c r="AA200" i="2"/>
  <c r="Z200" i="2"/>
  <c r="Y200" i="2"/>
  <c r="X200" i="2"/>
  <c r="W200" i="2"/>
  <c r="V200" i="2"/>
  <c r="U200" i="2"/>
  <c r="T200" i="2"/>
  <c r="S200" i="2"/>
  <c r="R200" i="2"/>
  <c r="Q200" i="2"/>
  <c r="P200" i="2"/>
  <c r="O200" i="2"/>
  <c r="N200" i="2"/>
  <c r="M200" i="2"/>
  <c r="L200" i="2"/>
  <c r="K200" i="2"/>
  <c r="J200" i="2"/>
  <c r="I200" i="2"/>
  <c r="H200" i="2"/>
  <c r="G200" i="2"/>
  <c r="F200" i="2"/>
  <c r="E200" i="2"/>
  <c r="D200" i="2"/>
  <c r="C200" i="2"/>
  <c r="AS199" i="2"/>
  <c r="AR199" i="2"/>
  <c r="AQ199" i="2"/>
  <c r="AP199" i="2"/>
  <c r="AO199" i="2"/>
  <c r="AN199" i="2"/>
  <c r="AM199" i="2"/>
  <c r="AL199" i="2"/>
  <c r="AK199" i="2"/>
  <c r="AJ199" i="2"/>
  <c r="AI199" i="2"/>
  <c r="AH199" i="2"/>
  <c r="AG199" i="2"/>
  <c r="AF199" i="2"/>
  <c r="AE199" i="2"/>
  <c r="AD199" i="2"/>
  <c r="AC199" i="2"/>
  <c r="AB199" i="2"/>
  <c r="AA199" i="2"/>
  <c r="Z199" i="2"/>
  <c r="Y199" i="2"/>
  <c r="X199" i="2"/>
  <c r="W199" i="2"/>
  <c r="V199" i="2"/>
  <c r="U199" i="2"/>
  <c r="T199" i="2"/>
  <c r="S199" i="2"/>
  <c r="R199" i="2"/>
  <c r="Q199" i="2"/>
  <c r="P199" i="2"/>
  <c r="O199" i="2"/>
  <c r="N199" i="2"/>
  <c r="M199" i="2"/>
  <c r="L199" i="2"/>
  <c r="K199" i="2"/>
  <c r="J199" i="2"/>
  <c r="I199" i="2"/>
  <c r="H199" i="2"/>
  <c r="G199" i="2"/>
  <c r="F199" i="2"/>
  <c r="E199" i="2"/>
  <c r="D199" i="2"/>
  <c r="C199" i="2"/>
  <c r="AS198" i="2"/>
  <c r="AR198" i="2"/>
  <c r="AQ198" i="2"/>
  <c r="AP198" i="2"/>
  <c r="AO198" i="2"/>
  <c r="AO207" i="2" s="1"/>
  <c r="AN198" i="2"/>
  <c r="AM198" i="2"/>
  <c r="AL198" i="2"/>
  <c r="AK198" i="2"/>
  <c r="AJ198" i="2"/>
  <c r="AI198" i="2"/>
  <c r="AH198" i="2"/>
  <c r="AG198" i="2"/>
  <c r="AF198" i="2"/>
  <c r="AE198" i="2"/>
  <c r="AD198" i="2"/>
  <c r="AC198" i="2"/>
  <c r="AB198" i="2"/>
  <c r="AA198" i="2"/>
  <c r="Z198" i="2"/>
  <c r="Y198" i="2"/>
  <c r="X198" i="2"/>
  <c r="W198" i="2"/>
  <c r="V198" i="2"/>
  <c r="U198" i="2"/>
  <c r="T198" i="2"/>
  <c r="S198" i="2"/>
  <c r="R198" i="2"/>
  <c r="Q198" i="2"/>
  <c r="P198" i="2"/>
  <c r="O198" i="2"/>
  <c r="N198" i="2"/>
  <c r="M198" i="2"/>
  <c r="L198" i="2"/>
  <c r="K198" i="2"/>
  <c r="J198" i="2"/>
  <c r="I198" i="2"/>
  <c r="H198" i="2"/>
  <c r="G198" i="2"/>
  <c r="F198" i="2"/>
  <c r="E198" i="2"/>
  <c r="D198" i="2"/>
  <c r="C198" i="2"/>
  <c r="AS197" i="2"/>
  <c r="AR197" i="2"/>
  <c r="AR207" i="2" s="1"/>
  <c r="AQ197" i="2"/>
  <c r="AP197" i="2"/>
  <c r="AO197" i="2"/>
  <c r="AN197" i="2"/>
  <c r="AM197" i="2"/>
  <c r="AL197" i="2"/>
  <c r="AK197" i="2"/>
  <c r="AJ197" i="2"/>
  <c r="AI197" i="2"/>
  <c r="AH197" i="2"/>
  <c r="AG197" i="2"/>
  <c r="AF197" i="2"/>
  <c r="AE197" i="2"/>
  <c r="AD197" i="2"/>
  <c r="AC197" i="2"/>
  <c r="AB197" i="2"/>
  <c r="AB207" i="2" s="1"/>
  <c r="AB57" i="2" s="1"/>
  <c r="AA197" i="2"/>
  <c r="Z197" i="2"/>
  <c r="Y197" i="2"/>
  <c r="X197" i="2"/>
  <c r="W197" i="2"/>
  <c r="V197" i="2"/>
  <c r="U197" i="2"/>
  <c r="T197" i="2"/>
  <c r="S197" i="2"/>
  <c r="R197" i="2"/>
  <c r="Q197" i="2"/>
  <c r="P197" i="2"/>
  <c r="O197" i="2"/>
  <c r="N197" i="2"/>
  <c r="M197" i="2"/>
  <c r="L197" i="2"/>
  <c r="K197" i="2"/>
  <c r="J197" i="2"/>
  <c r="I197" i="2"/>
  <c r="H197" i="2"/>
  <c r="G197" i="2"/>
  <c r="F197" i="2"/>
  <c r="E197" i="2"/>
  <c r="D197" i="2"/>
  <c r="C197" i="2"/>
  <c r="AS196" i="2"/>
  <c r="AR196" i="2"/>
  <c r="AQ196" i="2"/>
  <c r="AP196" i="2"/>
  <c r="AO196" i="2"/>
  <c r="AN196" i="2"/>
  <c r="AM196" i="2"/>
  <c r="AL196" i="2"/>
  <c r="AK196" i="2"/>
  <c r="AJ196" i="2"/>
  <c r="AI196" i="2"/>
  <c r="AH196" i="2"/>
  <c r="AG196" i="2"/>
  <c r="AF196" i="2"/>
  <c r="AE196" i="2"/>
  <c r="AD196" i="2"/>
  <c r="AC196" i="2"/>
  <c r="AB196" i="2"/>
  <c r="AA196" i="2"/>
  <c r="Z196" i="2"/>
  <c r="Y196" i="2"/>
  <c r="X196" i="2"/>
  <c r="W196" i="2"/>
  <c r="V196" i="2"/>
  <c r="U196" i="2"/>
  <c r="T196" i="2"/>
  <c r="S196" i="2"/>
  <c r="R196" i="2"/>
  <c r="Q196" i="2"/>
  <c r="P196" i="2"/>
  <c r="O196" i="2"/>
  <c r="O207" i="2" s="1"/>
  <c r="N196" i="2"/>
  <c r="M196" i="2"/>
  <c r="L196" i="2"/>
  <c r="K196" i="2"/>
  <c r="J196" i="2"/>
  <c r="I196" i="2"/>
  <c r="H196" i="2"/>
  <c r="G196" i="2"/>
  <c r="F196" i="2"/>
  <c r="E196" i="2"/>
  <c r="D196" i="2"/>
  <c r="C196" i="2"/>
  <c r="AS192" i="2"/>
  <c r="AR192" i="2"/>
  <c r="AQ192" i="2"/>
  <c r="AP192" i="2"/>
  <c r="AO192" i="2"/>
  <c r="AN192" i="2"/>
  <c r="AM192" i="2"/>
  <c r="AL192" i="2"/>
  <c r="AK192" i="2"/>
  <c r="AJ192" i="2"/>
  <c r="AI192" i="2"/>
  <c r="AH192" i="2"/>
  <c r="AG192" i="2"/>
  <c r="AF192" i="2"/>
  <c r="AE192" i="2"/>
  <c r="AD192" i="2"/>
  <c r="AC192" i="2"/>
  <c r="AB192" i="2"/>
  <c r="AA192" i="2"/>
  <c r="Z192" i="2"/>
  <c r="Y192" i="2"/>
  <c r="X192" i="2"/>
  <c r="W192" i="2"/>
  <c r="V192" i="2"/>
  <c r="U192" i="2"/>
  <c r="T192" i="2"/>
  <c r="S192" i="2"/>
  <c r="R192" i="2"/>
  <c r="Q192" i="2"/>
  <c r="P192" i="2"/>
  <c r="O192" i="2"/>
  <c r="N192" i="2"/>
  <c r="M192" i="2"/>
  <c r="L192" i="2"/>
  <c r="K192" i="2"/>
  <c r="J192" i="2"/>
  <c r="I192" i="2"/>
  <c r="H192" i="2"/>
  <c r="G192" i="2"/>
  <c r="F192" i="2"/>
  <c r="E192" i="2"/>
  <c r="D192" i="2"/>
  <c r="C192" i="2"/>
  <c r="AS191" i="2"/>
  <c r="AR191" i="2"/>
  <c r="AQ191" i="2"/>
  <c r="AP191" i="2"/>
  <c r="AO191" i="2"/>
  <c r="AN191" i="2"/>
  <c r="AM191" i="2"/>
  <c r="AL191" i="2"/>
  <c r="AK191" i="2"/>
  <c r="AJ191" i="2"/>
  <c r="AI191" i="2"/>
  <c r="AH191" i="2"/>
  <c r="AG191" i="2"/>
  <c r="AF191" i="2"/>
  <c r="AE191" i="2"/>
  <c r="AD191" i="2"/>
  <c r="AC191" i="2"/>
  <c r="AB191" i="2"/>
  <c r="AA191" i="2"/>
  <c r="Z191" i="2"/>
  <c r="Y191" i="2"/>
  <c r="X191" i="2"/>
  <c r="W191" i="2"/>
  <c r="V191" i="2"/>
  <c r="U191" i="2"/>
  <c r="T191" i="2"/>
  <c r="S191" i="2"/>
  <c r="R191" i="2"/>
  <c r="Q191" i="2"/>
  <c r="P191" i="2"/>
  <c r="O191" i="2"/>
  <c r="N191" i="2"/>
  <c r="M191" i="2"/>
  <c r="L191" i="2"/>
  <c r="K191" i="2"/>
  <c r="J191" i="2"/>
  <c r="I191" i="2"/>
  <c r="H191" i="2"/>
  <c r="G191" i="2"/>
  <c r="F191" i="2"/>
  <c r="E191" i="2"/>
  <c r="D191" i="2"/>
  <c r="C191" i="2"/>
  <c r="AS190" i="2"/>
  <c r="AR190" i="2"/>
  <c r="AQ190" i="2"/>
  <c r="AP190" i="2"/>
  <c r="AO190" i="2"/>
  <c r="AN190" i="2"/>
  <c r="AM190" i="2"/>
  <c r="AL190" i="2"/>
  <c r="AK190" i="2"/>
  <c r="AJ190" i="2"/>
  <c r="AI190" i="2"/>
  <c r="AH190" i="2"/>
  <c r="AG190" i="2"/>
  <c r="AF190" i="2"/>
  <c r="AE190" i="2"/>
  <c r="AD190" i="2"/>
  <c r="AC190" i="2"/>
  <c r="AB190" i="2"/>
  <c r="AA190" i="2"/>
  <c r="Z190" i="2"/>
  <c r="Y190" i="2"/>
  <c r="X190" i="2"/>
  <c r="W190" i="2"/>
  <c r="V190" i="2"/>
  <c r="U190" i="2"/>
  <c r="T190" i="2"/>
  <c r="S190" i="2"/>
  <c r="R190" i="2"/>
  <c r="Q190" i="2"/>
  <c r="P190" i="2"/>
  <c r="O190" i="2"/>
  <c r="N190" i="2"/>
  <c r="M190" i="2"/>
  <c r="L190" i="2"/>
  <c r="K190" i="2"/>
  <c r="J190" i="2"/>
  <c r="I190" i="2"/>
  <c r="H190" i="2"/>
  <c r="G190" i="2"/>
  <c r="F190" i="2"/>
  <c r="E190" i="2"/>
  <c r="D190" i="2"/>
  <c r="C190" i="2"/>
  <c r="AS189" i="2"/>
  <c r="AR189" i="2"/>
  <c r="AQ189" i="2"/>
  <c r="AP189" i="2"/>
  <c r="AO189" i="2"/>
  <c r="AN189" i="2"/>
  <c r="AM189" i="2"/>
  <c r="AL189" i="2"/>
  <c r="AK189" i="2"/>
  <c r="AJ189" i="2"/>
  <c r="AI189" i="2"/>
  <c r="AH189" i="2"/>
  <c r="AG189" i="2"/>
  <c r="AF189" i="2"/>
  <c r="AE189" i="2"/>
  <c r="AD189" i="2"/>
  <c r="AC189" i="2"/>
  <c r="AB189" i="2"/>
  <c r="AA189" i="2"/>
  <c r="Z189" i="2"/>
  <c r="Y189" i="2"/>
  <c r="X189" i="2"/>
  <c r="W189" i="2"/>
  <c r="V189" i="2"/>
  <c r="U189" i="2"/>
  <c r="T189" i="2"/>
  <c r="S189" i="2"/>
  <c r="R189" i="2"/>
  <c r="Q189" i="2"/>
  <c r="P189" i="2"/>
  <c r="O189" i="2"/>
  <c r="N189" i="2"/>
  <c r="M189" i="2"/>
  <c r="L189" i="2"/>
  <c r="K189" i="2"/>
  <c r="J189" i="2"/>
  <c r="I189" i="2"/>
  <c r="H189" i="2"/>
  <c r="G189" i="2"/>
  <c r="F189" i="2"/>
  <c r="E189" i="2"/>
  <c r="D189" i="2"/>
  <c r="C189" i="2"/>
  <c r="AS188" i="2"/>
  <c r="AR188" i="2"/>
  <c r="AQ188" i="2"/>
  <c r="AP188" i="2"/>
  <c r="AO188" i="2"/>
  <c r="AN188" i="2"/>
  <c r="AM188" i="2"/>
  <c r="AL188" i="2"/>
  <c r="AK188" i="2"/>
  <c r="AJ188" i="2"/>
  <c r="AI188" i="2"/>
  <c r="AH188" i="2"/>
  <c r="AG188" i="2"/>
  <c r="AF188" i="2"/>
  <c r="AE188" i="2"/>
  <c r="AD188" i="2"/>
  <c r="AC188" i="2"/>
  <c r="AB188" i="2"/>
  <c r="AA188" i="2"/>
  <c r="Z188" i="2"/>
  <c r="Y188" i="2"/>
  <c r="X188" i="2"/>
  <c r="W188" i="2"/>
  <c r="V188" i="2"/>
  <c r="U188" i="2"/>
  <c r="T188" i="2"/>
  <c r="S188" i="2"/>
  <c r="R188" i="2"/>
  <c r="Q188" i="2"/>
  <c r="P188" i="2"/>
  <c r="O188" i="2"/>
  <c r="N188" i="2"/>
  <c r="M188" i="2"/>
  <c r="L188" i="2"/>
  <c r="K188" i="2"/>
  <c r="J188" i="2"/>
  <c r="I188" i="2"/>
  <c r="H188" i="2"/>
  <c r="G188" i="2"/>
  <c r="F188" i="2"/>
  <c r="E188" i="2"/>
  <c r="D188" i="2"/>
  <c r="C188" i="2"/>
  <c r="AS187" i="2"/>
  <c r="AR187" i="2"/>
  <c r="AQ187" i="2"/>
  <c r="AP187" i="2"/>
  <c r="AO187" i="2"/>
  <c r="AN187" i="2"/>
  <c r="AM187" i="2"/>
  <c r="AL187" i="2"/>
  <c r="AK187" i="2"/>
  <c r="AJ187" i="2"/>
  <c r="AI187" i="2"/>
  <c r="AH187" i="2"/>
  <c r="AG187" i="2"/>
  <c r="AF187" i="2"/>
  <c r="AE187" i="2"/>
  <c r="AD187" i="2"/>
  <c r="AC187" i="2"/>
  <c r="AB187" i="2"/>
  <c r="AA187" i="2"/>
  <c r="Z187" i="2"/>
  <c r="Y187" i="2"/>
  <c r="X187" i="2"/>
  <c r="W187" i="2"/>
  <c r="V187" i="2"/>
  <c r="U187" i="2"/>
  <c r="T187" i="2"/>
  <c r="S187" i="2"/>
  <c r="R187" i="2"/>
  <c r="Q187" i="2"/>
  <c r="P187" i="2"/>
  <c r="O187" i="2"/>
  <c r="N187" i="2"/>
  <c r="M187" i="2"/>
  <c r="L187" i="2"/>
  <c r="K187" i="2"/>
  <c r="J187" i="2"/>
  <c r="I187" i="2"/>
  <c r="H187" i="2"/>
  <c r="G187" i="2"/>
  <c r="F187" i="2"/>
  <c r="E187" i="2"/>
  <c r="D187" i="2"/>
  <c r="C187" i="2"/>
  <c r="AS186" i="2"/>
  <c r="AR186" i="2"/>
  <c r="AQ186" i="2"/>
  <c r="AP186" i="2"/>
  <c r="AO186" i="2"/>
  <c r="AN186" i="2"/>
  <c r="AM186" i="2"/>
  <c r="AL186" i="2"/>
  <c r="AK186" i="2"/>
  <c r="AJ186" i="2"/>
  <c r="AI186" i="2"/>
  <c r="AH186" i="2"/>
  <c r="AG186" i="2"/>
  <c r="AF186" i="2"/>
  <c r="AE186" i="2"/>
  <c r="AD186" i="2"/>
  <c r="AC186" i="2"/>
  <c r="AB186" i="2"/>
  <c r="AA186" i="2"/>
  <c r="Z186" i="2"/>
  <c r="Y186" i="2"/>
  <c r="X186" i="2"/>
  <c r="W186" i="2"/>
  <c r="V186" i="2"/>
  <c r="U186" i="2"/>
  <c r="T186" i="2"/>
  <c r="S186" i="2"/>
  <c r="R186" i="2"/>
  <c r="Q186" i="2"/>
  <c r="P186" i="2"/>
  <c r="O186" i="2"/>
  <c r="N186" i="2"/>
  <c r="M186" i="2"/>
  <c r="L186" i="2"/>
  <c r="K186" i="2"/>
  <c r="J186" i="2"/>
  <c r="I186" i="2"/>
  <c r="H186" i="2"/>
  <c r="G186" i="2"/>
  <c r="F186" i="2"/>
  <c r="E186" i="2"/>
  <c r="D186" i="2"/>
  <c r="C186" i="2"/>
  <c r="AS185" i="2"/>
  <c r="AR185" i="2"/>
  <c r="AQ185" i="2"/>
  <c r="AP185" i="2"/>
  <c r="AO185" i="2"/>
  <c r="AN185" i="2"/>
  <c r="AM185" i="2"/>
  <c r="AL185" i="2"/>
  <c r="AK185" i="2"/>
  <c r="AJ185" i="2"/>
  <c r="AI185" i="2"/>
  <c r="AH185" i="2"/>
  <c r="AG185" i="2"/>
  <c r="AF185" i="2"/>
  <c r="AE185" i="2"/>
  <c r="AD185" i="2"/>
  <c r="AC185" i="2"/>
  <c r="AB185" i="2"/>
  <c r="AA185" i="2"/>
  <c r="Z185" i="2"/>
  <c r="Y185" i="2"/>
  <c r="X185" i="2"/>
  <c r="W185" i="2"/>
  <c r="V185" i="2"/>
  <c r="U185" i="2"/>
  <c r="T185" i="2"/>
  <c r="S185" i="2"/>
  <c r="R185" i="2"/>
  <c r="Q185" i="2"/>
  <c r="P185" i="2"/>
  <c r="O185" i="2"/>
  <c r="N185" i="2"/>
  <c r="M185" i="2"/>
  <c r="L185" i="2"/>
  <c r="K185" i="2"/>
  <c r="J185" i="2"/>
  <c r="I185" i="2"/>
  <c r="H185" i="2"/>
  <c r="G185" i="2"/>
  <c r="F185" i="2"/>
  <c r="E185" i="2"/>
  <c r="D185" i="2"/>
  <c r="C185" i="2"/>
  <c r="AS184" i="2"/>
  <c r="AR184" i="2"/>
  <c r="AQ184" i="2"/>
  <c r="AP184" i="2"/>
  <c r="AO184" i="2"/>
  <c r="AN184" i="2"/>
  <c r="AM184" i="2"/>
  <c r="AL184" i="2"/>
  <c r="AK184" i="2"/>
  <c r="AJ184" i="2"/>
  <c r="AI184" i="2"/>
  <c r="AH184" i="2"/>
  <c r="AG184" i="2"/>
  <c r="AF184" i="2"/>
  <c r="AE184" i="2"/>
  <c r="AD184" i="2"/>
  <c r="AC184" i="2"/>
  <c r="AB184" i="2"/>
  <c r="AA184" i="2"/>
  <c r="Z184" i="2"/>
  <c r="Y184" i="2"/>
  <c r="X184" i="2"/>
  <c r="W184" i="2"/>
  <c r="V184" i="2"/>
  <c r="U184" i="2"/>
  <c r="T184" i="2"/>
  <c r="S184" i="2"/>
  <c r="R184" i="2"/>
  <c r="Q184" i="2"/>
  <c r="P184" i="2"/>
  <c r="O184" i="2"/>
  <c r="N184" i="2"/>
  <c r="M184" i="2"/>
  <c r="L184" i="2"/>
  <c r="K184" i="2"/>
  <c r="J184" i="2"/>
  <c r="I184" i="2"/>
  <c r="H184" i="2"/>
  <c r="G184" i="2"/>
  <c r="F184" i="2"/>
  <c r="E184" i="2"/>
  <c r="D184" i="2"/>
  <c r="C184" i="2"/>
  <c r="AS183" i="2"/>
  <c r="AR183" i="2"/>
  <c r="AQ183" i="2"/>
  <c r="AP183" i="2"/>
  <c r="AO183" i="2"/>
  <c r="AN183" i="2"/>
  <c r="AM183" i="2"/>
  <c r="AL183" i="2"/>
  <c r="AK183" i="2"/>
  <c r="AJ183" i="2"/>
  <c r="AI183" i="2"/>
  <c r="AH183" i="2"/>
  <c r="AH193" i="2" s="1"/>
  <c r="AH48" i="2" s="1"/>
  <c r="AG183" i="2"/>
  <c r="AF183" i="2"/>
  <c r="AE183" i="2"/>
  <c r="AD183" i="2"/>
  <c r="AC183" i="2"/>
  <c r="AB183" i="2"/>
  <c r="AA183" i="2"/>
  <c r="Z183" i="2"/>
  <c r="Y183" i="2"/>
  <c r="X183" i="2"/>
  <c r="W183" i="2"/>
  <c r="V183" i="2"/>
  <c r="U183" i="2"/>
  <c r="T183" i="2"/>
  <c r="S183" i="2"/>
  <c r="R183" i="2"/>
  <c r="Q183" i="2"/>
  <c r="P183" i="2"/>
  <c r="O183" i="2"/>
  <c r="N183" i="2"/>
  <c r="M183" i="2"/>
  <c r="L183" i="2"/>
  <c r="K183" i="2"/>
  <c r="J183" i="2"/>
  <c r="I183" i="2"/>
  <c r="H183" i="2"/>
  <c r="G183" i="2"/>
  <c r="F183" i="2"/>
  <c r="E183" i="2"/>
  <c r="D183" i="2"/>
  <c r="C183" i="2"/>
  <c r="AS182" i="2"/>
  <c r="AR182" i="2"/>
  <c r="AQ182" i="2"/>
  <c r="AP182" i="2"/>
  <c r="AO182" i="2"/>
  <c r="AN182" i="2"/>
  <c r="AM182" i="2"/>
  <c r="AL182" i="2"/>
  <c r="AK182" i="2"/>
  <c r="AJ182" i="2"/>
  <c r="AI182" i="2"/>
  <c r="AH182" i="2"/>
  <c r="AG182" i="2"/>
  <c r="AF182" i="2"/>
  <c r="AE182" i="2"/>
  <c r="AD182" i="2"/>
  <c r="AC182" i="2"/>
  <c r="AB182" i="2"/>
  <c r="AA182" i="2"/>
  <c r="AA193" i="2" s="1"/>
  <c r="Z182" i="2"/>
  <c r="Y182" i="2"/>
  <c r="X182" i="2"/>
  <c r="W182" i="2"/>
  <c r="V182" i="2"/>
  <c r="U182" i="2"/>
  <c r="T182" i="2"/>
  <c r="S182" i="2"/>
  <c r="R182" i="2"/>
  <c r="Q182" i="2"/>
  <c r="P182" i="2"/>
  <c r="O182" i="2"/>
  <c r="N182" i="2"/>
  <c r="M182" i="2"/>
  <c r="L182" i="2"/>
  <c r="K182" i="2"/>
  <c r="J182" i="2"/>
  <c r="I182" i="2"/>
  <c r="H182" i="2"/>
  <c r="G182" i="2"/>
  <c r="F182" i="2"/>
  <c r="E182" i="2"/>
  <c r="D182" i="2"/>
  <c r="C182" i="2"/>
  <c r="AS178" i="2"/>
  <c r="AR178" i="2"/>
  <c r="AQ178" i="2"/>
  <c r="AP178" i="2"/>
  <c r="AO178" i="2"/>
  <c r="AN178" i="2"/>
  <c r="AM178" i="2"/>
  <c r="AL178" i="2"/>
  <c r="AK178" i="2"/>
  <c r="AJ178" i="2"/>
  <c r="AI178" i="2"/>
  <c r="AH178" i="2"/>
  <c r="AG178" i="2"/>
  <c r="AF178" i="2"/>
  <c r="AE178" i="2"/>
  <c r="AD178" i="2"/>
  <c r="AC178" i="2"/>
  <c r="AB178" i="2"/>
  <c r="AA178" i="2"/>
  <c r="Z178" i="2"/>
  <c r="Y178" i="2"/>
  <c r="X178" i="2"/>
  <c r="W178" i="2"/>
  <c r="V178" i="2"/>
  <c r="U178" i="2"/>
  <c r="T178" i="2"/>
  <c r="S178" i="2"/>
  <c r="R178" i="2"/>
  <c r="Q178" i="2"/>
  <c r="P178" i="2"/>
  <c r="O178" i="2"/>
  <c r="N178" i="2"/>
  <c r="N179" i="2" s="1"/>
  <c r="N45" i="2" s="1"/>
  <c r="M178" i="2"/>
  <c r="L178" i="2"/>
  <c r="K178" i="2"/>
  <c r="J178" i="2"/>
  <c r="I178" i="2"/>
  <c r="H178" i="2"/>
  <c r="G178" i="2"/>
  <c r="F178" i="2"/>
  <c r="E178" i="2"/>
  <c r="D178" i="2"/>
  <c r="C178" i="2"/>
  <c r="AS177" i="2"/>
  <c r="AR177" i="2"/>
  <c r="AQ177" i="2"/>
  <c r="AP177" i="2"/>
  <c r="AO177" i="2"/>
  <c r="AN177" i="2"/>
  <c r="AM177" i="2"/>
  <c r="AL177" i="2"/>
  <c r="AK177" i="2"/>
  <c r="AJ177" i="2"/>
  <c r="AI177" i="2"/>
  <c r="AH177" i="2"/>
  <c r="AG177" i="2"/>
  <c r="AF177" i="2"/>
  <c r="AE177" i="2"/>
  <c r="AD177" i="2"/>
  <c r="AC177" i="2"/>
  <c r="AB177" i="2"/>
  <c r="AA177" i="2"/>
  <c r="Z177" i="2"/>
  <c r="Y177" i="2"/>
  <c r="X177" i="2"/>
  <c r="W177" i="2"/>
  <c r="V177" i="2"/>
  <c r="U177" i="2"/>
  <c r="T177" i="2"/>
  <c r="S177" i="2"/>
  <c r="R177" i="2"/>
  <c r="Q177" i="2"/>
  <c r="P177" i="2"/>
  <c r="O177" i="2"/>
  <c r="N177" i="2"/>
  <c r="M177" i="2"/>
  <c r="L177" i="2"/>
  <c r="K177" i="2"/>
  <c r="J177" i="2"/>
  <c r="I177" i="2"/>
  <c r="H177" i="2"/>
  <c r="G177" i="2"/>
  <c r="F177" i="2"/>
  <c r="E177" i="2"/>
  <c r="D177" i="2"/>
  <c r="C177" i="2"/>
  <c r="AS176" i="2"/>
  <c r="AR176" i="2"/>
  <c r="AQ176" i="2"/>
  <c r="AP176" i="2"/>
  <c r="AO176" i="2"/>
  <c r="AN176" i="2"/>
  <c r="AM176" i="2"/>
  <c r="AL176" i="2"/>
  <c r="AK176" i="2"/>
  <c r="AJ176" i="2"/>
  <c r="AI176" i="2"/>
  <c r="AH176" i="2"/>
  <c r="AG176" i="2"/>
  <c r="AF176" i="2"/>
  <c r="AE176" i="2"/>
  <c r="AD176" i="2"/>
  <c r="AC176" i="2"/>
  <c r="AB176" i="2"/>
  <c r="AA176" i="2"/>
  <c r="Z176" i="2"/>
  <c r="Y176" i="2"/>
  <c r="X176" i="2"/>
  <c r="W176" i="2"/>
  <c r="V176" i="2"/>
  <c r="U176" i="2"/>
  <c r="T176" i="2"/>
  <c r="S176" i="2"/>
  <c r="R176" i="2"/>
  <c r="Q176" i="2"/>
  <c r="P176" i="2"/>
  <c r="O176" i="2"/>
  <c r="N176" i="2"/>
  <c r="M176" i="2"/>
  <c r="L176" i="2"/>
  <c r="K176" i="2"/>
  <c r="J176" i="2"/>
  <c r="I176" i="2"/>
  <c r="H176" i="2"/>
  <c r="G176" i="2"/>
  <c r="F176" i="2"/>
  <c r="E176" i="2"/>
  <c r="D176" i="2"/>
  <c r="C176" i="2"/>
  <c r="AS175" i="2"/>
  <c r="AR175" i="2"/>
  <c r="AQ175" i="2"/>
  <c r="AP175" i="2"/>
  <c r="AO175" i="2"/>
  <c r="AN175" i="2"/>
  <c r="AM175" i="2"/>
  <c r="AL175" i="2"/>
  <c r="AK175" i="2"/>
  <c r="AJ175" i="2"/>
  <c r="AI175" i="2"/>
  <c r="AH175" i="2"/>
  <c r="AG175" i="2"/>
  <c r="AF175" i="2"/>
  <c r="AE175" i="2"/>
  <c r="AD175" i="2"/>
  <c r="AC175" i="2"/>
  <c r="AB175" i="2"/>
  <c r="AA175" i="2"/>
  <c r="Z175" i="2"/>
  <c r="Y175" i="2"/>
  <c r="X175" i="2"/>
  <c r="W175" i="2"/>
  <c r="V175" i="2"/>
  <c r="U175" i="2"/>
  <c r="T175" i="2"/>
  <c r="S175" i="2"/>
  <c r="R175" i="2"/>
  <c r="Q175" i="2"/>
  <c r="P175" i="2"/>
  <c r="O175" i="2"/>
  <c r="N175" i="2"/>
  <c r="M175" i="2"/>
  <c r="L175" i="2"/>
  <c r="K175" i="2"/>
  <c r="J175" i="2"/>
  <c r="I175" i="2"/>
  <c r="H175" i="2"/>
  <c r="G175" i="2"/>
  <c r="F175" i="2"/>
  <c r="E175" i="2"/>
  <c r="D175" i="2"/>
  <c r="C175" i="2"/>
  <c r="AS174" i="2"/>
  <c r="AR174" i="2"/>
  <c r="AQ174" i="2"/>
  <c r="AP174" i="2"/>
  <c r="AO174" i="2"/>
  <c r="AN174" i="2"/>
  <c r="AM174" i="2"/>
  <c r="AL174" i="2"/>
  <c r="AK174" i="2"/>
  <c r="AJ174" i="2"/>
  <c r="AI174" i="2"/>
  <c r="AH174" i="2"/>
  <c r="AG174" i="2"/>
  <c r="AF174" i="2"/>
  <c r="AE174" i="2"/>
  <c r="AD174" i="2"/>
  <c r="AC174" i="2"/>
  <c r="AB174" i="2"/>
  <c r="AA174" i="2"/>
  <c r="Z174" i="2"/>
  <c r="Y174" i="2"/>
  <c r="X174" i="2"/>
  <c r="W174" i="2"/>
  <c r="V174" i="2"/>
  <c r="U174" i="2"/>
  <c r="T174" i="2"/>
  <c r="S174" i="2"/>
  <c r="R174" i="2"/>
  <c r="Q174" i="2"/>
  <c r="P174" i="2"/>
  <c r="O174" i="2"/>
  <c r="N174" i="2"/>
  <c r="M174" i="2"/>
  <c r="L174" i="2"/>
  <c r="K174" i="2"/>
  <c r="J174" i="2"/>
  <c r="I174" i="2"/>
  <c r="H174" i="2"/>
  <c r="G174" i="2"/>
  <c r="F174" i="2"/>
  <c r="E174" i="2"/>
  <c r="D174" i="2"/>
  <c r="C174" i="2"/>
  <c r="AS173" i="2"/>
  <c r="AR173" i="2"/>
  <c r="AQ173" i="2"/>
  <c r="AP173" i="2"/>
  <c r="AO173" i="2"/>
  <c r="AN173" i="2"/>
  <c r="AM173" i="2"/>
  <c r="AL173" i="2"/>
  <c r="AK173" i="2"/>
  <c r="AJ173" i="2"/>
  <c r="AI173" i="2"/>
  <c r="AH173" i="2"/>
  <c r="AG173" i="2"/>
  <c r="AF173" i="2"/>
  <c r="AE173" i="2"/>
  <c r="AD173" i="2"/>
  <c r="AC173" i="2"/>
  <c r="AB173" i="2"/>
  <c r="AA173" i="2"/>
  <c r="Z173" i="2"/>
  <c r="Y173" i="2"/>
  <c r="X173" i="2"/>
  <c r="W173" i="2"/>
  <c r="V173" i="2"/>
  <c r="U173" i="2"/>
  <c r="T173" i="2"/>
  <c r="S173" i="2"/>
  <c r="R173" i="2"/>
  <c r="Q173" i="2"/>
  <c r="P173" i="2"/>
  <c r="O173" i="2"/>
  <c r="N173" i="2"/>
  <c r="M173" i="2"/>
  <c r="L173" i="2"/>
  <c r="K173" i="2"/>
  <c r="J173" i="2"/>
  <c r="I173" i="2"/>
  <c r="H173" i="2"/>
  <c r="G173" i="2"/>
  <c r="F173" i="2"/>
  <c r="E173" i="2"/>
  <c r="D173" i="2"/>
  <c r="C173" i="2"/>
  <c r="AS172" i="2"/>
  <c r="AR172" i="2"/>
  <c r="AQ172" i="2"/>
  <c r="AP172" i="2"/>
  <c r="AO172" i="2"/>
  <c r="AN172" i="2"/>
  <c r="AM172" i="2"/>
  <c r="AL172" i="2"/>
  <c r="AK172" i="2"/>
  <c r="AJ172" i="2"/>
  <c r="AI172" i="2"/>
  <c r="AH172" i="2"/>
  <c r="AG172" i="2"/>
  <c r="AF172" i="2"/>
  <c r="AE172" i="2"/>
  <c r="AD172" i="2"/>
  <c r="AC172" i="2"/>
  <c r="AB172" i="2"/>
  <c r="AA172" i="2"/>
  <c r="Z172" i="2"/>
  <c r="Y172" i="2"/>
  <c r="X172" i="2"/>
  <c r="W172" i="2"/>
  <c r="V172" i="2"/>
  <c r="U172" i="2"/>
  <c r="T172" i="2"/>
  <c r="S172" i="2"/>
  <c r="R172" i="2"/>
  <c r="Q172" i="2"/>
  <c r="P172" i="2"/>
  <c r="O172" i="2"/>
  <c r="N172" i="2"/>
  <c r="M172" i="2"/>
  <c r="L172" i="2"/>
  <c r="K172" i="2"/>
  <c r="J172" i="2"/>
  <c r="I172" i="2"/>
  <c r="H172" i="2"/>
  <c r="G172" i="2"/>
  <c r="F172" i="2"/>
  <c r="E172" i="2"/>
  <c r="D172" i="2"/>
  <c r="C172" i="2"/>
  <c r="AS171" i="2"/>
  <c r="AR171" i="2"/>
  <c r="AQ171" i="2"/>
  <c r="AP171" i="2"/>
  <c r="AO171" i="2"/>
  <c r="AN171" i="2"/>
  <c r="AM171" i="2"/>
  <c r="AL171" i="2"/>
  <c r="AK171" i="2"/>
  <c r="AJ171" i="2"/>
  <c r="AI171" i="2"/>
  <c r="AH171" i="2"/>
  <c r="AG171" i="2"/>
  <c r="AF171" i="2"/>
  <c r="AE171" i="2"/>
  <c r="AD171" i="2"/>
  <c r="AC171" i="2"/>
  <c r="AB171" i="2"/>
  <c r="AA171" i="2"/>
  <c r="Z171" i="2"/>
  <c r="Y171" i="2"/>
  <c r="X171" i="2"/>
  <c r="W171" i="2"/>
  <c r="V171" i="2"/>
  <c r="U171" i="2"/>
  <c r="T171" i="2"/>
  <c r="S171" i="2"/>
  <c r="R171" i="2"/>
  <c r="Q171" i="2"/>
  <c r="P171" i="2"/>
  <c r="O171" i="2"/>
  <c r="N171" i="2"/>
  <c r="M171" i="2"/>
  <c r="L171" i="2"/>
  <c r="K171" i="2"/>
  <c r="J171" i="2"/>
  <c r="I171" i="2"/>
  <c r="H171" i="2"/>
  <c r="G171" i="2"/>
  <c r="F171" i="2"/>
  <c r="E171" i="2"/>
  <c r="D171" i="2"/>
  <c r="C171" i="2"/>
  <c r="AS170" i="2"/>
  <c r="AR170" i="2"/>
  <c r="AQ170" i="2"/>
  <c r="AP170" i="2"/>
  <c r="AO170" i="2"/>
  <c r="AN170" i="2"/>
  <c r="AM170" i="2"/>
  <c r="AL170" i="2"/>
  <c r="AK170" i="2"/>
  <c r="AJ170" i="2"/>
  <c r="AI170" i="2"/>
  <c r="AH170" i="2"/>
  <c r="AG170" i="2"/>
  <c r="AF170" i="2"/>
  <c r="AE170" i="2"/>
  <c r="AD170" i="2"/>
  <c r="AC170" i="2"/>
  <c r="AB170" i="2"/>
  <c r="AA170" i="2"/>
  <c r="Z170" i="2"/>
  <c r="Y170" i="2"/>
  <c r="X170" i="2"/>
  <c r="W170" i="2"/>
  <c r="V170" i="2"/>
  <c r="U170" i="2"/>
  <c r="T170" i="2"/>
  <c r="S170" i="2"/>
  <c r="R170" i="2"/>
  <c r="Q170" i="2"/>
  <c r="P170" i="2"/>
  <c r="O170" i="2"/>
  <c r="N170" i="2"/>
  <c r="M170" i="2"/>
  <c r="L170" i="2"/>
  <c r="K170" i="2"/>
  <c r="J170" i="2"/>
  <c r="I170" i="2"/>
  <c r="H170" i="2"/>
  <c r="G170" i="2"/>
  <c r="F170" i="2"/>
  <c r="E170" i="2"/>
  <c r="D170" i="2"/>
  <c r="C170" i="2"/>
  <c r="AS169" i="2"/>
  <c r="AR169" i="2"/>
  <c r="AQ169" i="2"/>
  <c r="AP169" i="2"/>
  <c r="AO169" i="2"/>
  <c r="AN169" i="2"/>
  <c r="AM169" i="2"/>
  <c r="AL169" i="2"/>
  <c r="AK169" i="2"/>
  <c r="AJ169" i="2"/>
  <c r="AI169" i="2"/>
  <c r="AH169" i="2"/>
  <c r="AG169" i="2"/>
  <c r="AF169" i="2"/>
  <c r="AE169" i="2"/>
  <c r="AD169" i="2"/>
  <c r="AC169" i="2"/>
  <c r="AB169" i="2"/>
  <c r="AA169" i="2"/>
  <c r="Z169" i="2"/>
  <c r="Y169" i="2"/>
  <c r="X169" i="2"/>
  <c r="W169" i="2"/>
  <c r="V169" i="2"/>
  <c r="U169" i="2"/>
  <c r="T169" i="2"/>
  <c r="S169" i="2"/>
  <c r="R169" i="2"/>
  <c r="Q169" i="2"/>
  <c r="P169" i="2"/>
  <c r="O169" i="2"/>
  <c r="N169" i="2"/>
  <c r="M169" i="2"/>
  <c r="L169" i="2"/>
  <c r="K169" i="2"/>
  <c r="J169" i="2"/>
  <c r="I169" i="2"/>
  <c r="H169" i="2"/>
  <c r="G169" i="2"/>
  <c r="F169" i="2"/>
  <c r="E169" i="2"/>
  <c r="D169" i="2"/>
  <c r="C169" i="2"/>
  <c r="AS168" i="2"/>
  <c r="AR168" i="2"/>
  <c r="AQ168" i="2"/>
  <c r="AP168" i="2"/>
  <c r="AO168" i="2"/>
  <c r="AN168" i="2"/>
  <c r="AM168" i="2"/>
  <c r="AM179" i="2" s="1"/>
  <c r="AL168" i="2"/>
  <c r="AK168" i="2"/>
  <c r="AJ168" i="2"/>
  <c r="AI168" i="2"/>
  <c r="AH168" i="2"/>
  <c r="AG168" i="2"/>
  <c r="AF168" i="2"/>
  <c r="AE168" i="2"/>
  <c r="AD168" i="2"/>
  <c r="AC168" i="2"/>
  <c r="AB168" i="2"/>
  <c r="AA168" i="2"/>
  <c r="Z168" i="2"/>
  <c r="Y168" i="2"/>
  <c r="Y179" i="2" s="1"/>
  <c r="X168" i="2"/>
  <c r="W168" i="2"/>
  <c r="V168" i="2"/>
  <c r="U168" i="2"/>
  <c r="T168" i="2"/>
  <c r="S168" i="2"/>
  <c r="R168" i="2"/>
  <c r="Q168" i="2"/>
  <c r="P168" i="2"/>
  <c r="O168" i="2"/>
  <c r="N168" i="2"/>
  <c r="M168" i="2"/>
  <c r="L168" i="2"/>
  <c r="K168" i="2"/>
  <c r="J168" i="2"/>
  <c r="I168" i="2"/>
  <c r="H168" i="2"/>
  <c r="G168" i="2"/>
  <c r="F168" i="2"/>
  <c r="E168" i="2"/>
  <c r="D168" i="2"/>
  <c r="C168" i="2"/>
  <c r="AS164" i="2"/>
  <c r="AR164" i="2"/>
  <c r="AQ164" i="2"/>
  <c r="AP164" i="2"/>
  <c r="AO164" i="2"/>
  <c r="AN164" i="2"/>
  <c r="AM164" i="2"/>
  <c r="AL164" i="2"/>
  <c r="AK164" i="2"/>
  <c r="AJ164" i="2"/>
  <c r="AI164" i="2"/>
  <c r="AH164" i="2"/>
  <c r="AG164" i="2"/>
  <c r="AF164" i="2"/>
  <c r="AE164" i="2"/>
  <c r="AD164" i="2"/>
  <c r="AC164" i="2"/>
  <c r="AB164" i="2"/>
  <c r="AA164" i="2"/>
  <c r="Z164" i="2"/>
  <c r="Y164" i="2"/>
  <c r="X164" i="2"/>
  <c r="W164" i="2"/>
  <c r="V164" i="2"/>
  <c r="U164" i="2"/>
  <c r="T164" i="2"/>
  <c r="S164" i="2"/>
  <c r="R164" i="2"/>
  <c r="Q164" i="2"/>
  <c r="P164" i="2"/>
  <c r="O164" i="2"/>
  <c r="N164" i="2"/>
  <c r="M164" i="2"/>
  <c r="L164" i="2"/>
  <c r="K164" i="2"/>
  <c r="J164" i="2"/>
  <c r="I164" i="2"/>
  <c r="H164" i="2"/>
  <c r="G164" i="2"/>
  <c r="F164" i="2"/>
  <c r="E164" i="2"/>
  <c r="D164" i="2"/>
  <c r="C164" i="2"/>
  <c r="AS163" i="2"/>
  <c r="AR163" i="2"/>
  <c r="AQ163" i="2"/>
  <c r="AP163" i="2"/>
  <c r="AO163" i="2"/>
  <c r="AN163" i="2"/>
  <c r="AM163" i="2"/>
  <c r="AL163" i="2"/>
  <c r="AK163" i="2"/>
  <c r="AJ163" i="2"/>
  <c r="AI163" i="2"/>
  <c r="AH163" i="2"/>
  <c r="AG163" i="2"/>
  <c r="AF163" i="2"/>
  <c r="AE163" i="2"/>
  <c r="AD163" i="2"/>
  <c r="AC163" i="2"/>
  <c r="AB163" i="2"/>
  <c r="AA163" i="2"/>
  <c r="Z163" i="2"/>
  <c r="Y163" i="2"/>
  <c r="X163" i="2"/>
  <c r="W163" i="2"/>
  <c r="V163" i="2"/>
  <c r="U163" i="2"/>
  <c r="T163" i="2"/>
  <c r="S163" i="2"/>
  <c r="R163" i="2"/>
  <c r="Q163" i="2"/>
  <c r="P163" i="2"/>
  <c r="O163" i="2"/>
  <c r="N163" i="2"/>
  <c r="M163" i="2"/>
  <c r="L163" i="2"/>
  <c r="K163" i="2"/>
  <c r="J163" i="2"/>
  <c r="I163" i="2"/>
  <c r="H163" i="2"/>
  <c r="G163" i="2"/>
  <c r="F163" i="2"/>
  <c r="E163" i="2"/>
  <c r="D163" i="2"/>
  <c r="C163" i="2"/>
  <c r="AS162" i="2"/>
  <c r="AR162" i="2"/>
  <c r="AQ162" i="2"/>
  <c r="AP162" i="2"/>
  <c r="AO162" i="2"/>
  <c r="AN162" i="2"/>
  <c r="AM162" i="2"/>
  <c r="AL162" i="2"/>
  <c r="AK162" i="2"/>
  <c r="AJ162" i="2"/>
  <c r="AI162" i="2"/>
  <c r="AH162" i="2"/>
  <c r="AG162" i="2"/>
  <c r="AF162" i="2"/>
  <c r="AE162" i="2"/>
  <c r="AD162" i="2"/>
  <c r="AC162" i="2"/>
  <c r="AB162" i="2"/>
  <c r="AA162" i="2"/>
  <c r="Z162" i="2"/>
  <c r="Y162" i="2"/>
  <c r="X162" i="2"/>
  <c r="W162" i="2"/>
  <c r="V162" i="2"/>
  <c r="U162" i="2"/>
  <c r="T162" i="2"/>
  <c r="S162" i="2"/>
  <c r="R162" i="2"/>
  <c r="Q162" i="2"/>
  <c r="P162" i="2"/>
  <c r="O162" i="2"/>
  <c r="N162" i="2"/>
  <c r="M162" i="2"/>
  <c r="L162" i="2"/>
  <c r="K162" i="2"/>
  <c r="J162" i="2"/>
  <c r="I162" i="2"/>
  <c r="H162" i="2"/>
  <c r="G162" i="2"/>
  <c r="F162" i="2"/>
  <c r="E162" i="2"/>
  <c r="D162" i="2"/>
  <c r="C162" i="2"/>
  <c r="AS161" i="2"/>
  <c r="AR161" i="2"/>
  <c r="AQ161" i="2"/>
  <c r="AP161" i="2"/>
  <c r="AO161" i="2"/>
  <c r="AN161" i="2"/>
  <c r="AM161" i="2"/>
  <c r="AL161" i="2"/>
  <c r="AK161" i="2"/>
  <c r="AJ161" i="2"/>
  <c r="AI161" i="2"/>
  <c r="AH161" i="2"/>
  <c r="AG161" i="2"/>
  <c r="AF161" i="2"/>
  <c r="AE161" i="2"/>
  <c r="AD161" i="2"/>
  <c r="AC161" i="2"/>
  <c r="AB161" i="2"/>
  <c r="AA161" i="2"/>
  <c r="Z161" i="2"/>
  <c r="Y161" i="2"/>
  <c r="X161" i="2"/>
  <c r="W161" i="2"/>
  <c r="V161" i="2"/>
  <c r="U161" i="2"/>
  <c r="T161" i="2"/>
  <c r="S161" i="2"/>
  <c r="R161" i="2"/>
  <c r="Q161" i="2"/>
  <c r="P161" i="2"/>
  <c r="O161" i="2"/>
  <c r="N161" i="2"/>
  <c r="M161" i="2"/>
  <c r="L161" i="2"/>
  <c r="K161" i="2"/>
  <c r="J161" i="2"/>
  <c r="I161" i="2"/>
  <c r="H161" i="2"/>
  <c r="G161" i="2"/>
  <c r="F161" i="2"/>
  <c r="E161" i="2"/>
  <c r="D161" i="2"/>
  <c r="C161" i="2"/>
  <c r="AS160" i="2"/>
  <c r="AR160" i="2"/>
  <c r="AQ160" i="2"/>
  <c r="AP160" i="2"/>
  <c r="AO160" i="2"/>
  <c r="AN160" i="2"/>
  <c r="AM160" i="2"/>
  <c r="AL160" i="2"/>
  <c r="AK160" i="2"/>
  <c r="AJ160" i="2"/>
  <c r="AI160" i="2"/>
  <c r="AH160" i="2"/>
  <c r="AG160" i="2"/>
  <c r="AF160" i="2"/>
  <c r="AE160" i="2"/>
  <c r="AD160" i="2"/>
  <c r="AC160" i="2"/>
  <c r="AB160" i="2"/>
  <c r="AA160" i="2"/>
  <c r="Z160" i="2"/>
  <c r="Y160" i="2"/>
  <c r="X160" i="2"/>
  <c r="W160" i="2"/>
  <c r="V160" i="2"/>
  <c r="U160" i="2"/>
  <c r="T160" i="2"/>
  <c r="S160" i="2"/>
  <c r="R160" i="2"/>
  <c r="Q160" i="2"/>
  <c r="P160" i="2"/>
  <c r="O160" i="2"/>
  <c r="N160" i="2"/>
  <c r="M160" i="2"/>
  <c r="L160" i="2"/>
  <c r="K160" i="2"/>
  <c r="J160" i="2"/>
  <c r="I160" i="2"/>
  <c r="H160" i="2"/>
  <c r="G160" i="2"/>
  <c r="F160" i="2"/>
  <c r="E160" i="2"/>
  <c r="D160" i="2"/>
  <c r="C160" i="2"/>
  <c r="AS159" i="2"/>
  <c r="AR159" i="2"/>
  <c r="AQ159" i="2"/>
  <c r="AP159" i="2"/>
  <c r="AO159" i="2"/>
  <c r="AN159" i="2"/>
  <c r="AM159" i="2"/>
  <c r="AL159" i="2"/>
  <c r="AK159" i="2"/>
  <c r="AJ159" i="2"/>
  <c r="AI159" i="2"/>
  <c r="AH159" i="2"/>
  <c r="AG159" i="2"/>
  <c r="AF159" i="2"/>
  <c r="AE159" i="2"/>
  <c r="AD159" i="2"/>
  <c r="AC159" i="2"/>
  <c r="AB159" i="2"/>
  <c r="AA159" i="2"/>
  <c r="Z159" i="2"/>
  <c r="Y159" i="2"/>
  <c r="X159" i="2"/>
  <c r="W159" i="2"/>
  <c r="V159" i="2"/>
  <c r="U159" i="2"/>
  <c r="T159" i="2"/>
  <c r="S159" i="2"/>
  <c r="R159" i="2"/>
  <c r="Q159" i="2"/>
  <c r="P159" i="2"/>
  <c r="O159" i="2"/>
  <c r="N159" i="2"/>
  <c r="M159" i="2"/>
  <c r="L159" i="2"/>
  <c r="K159" i="2"/>
  <c r="J159" i="2"/>
  <c r="I159" i="2"/>
  <c r="H159" i="2"/>
  <c r="G159" i="2"/>
  <c r="F159" i="2"/>
  <c r="E159" i="2"/>
  <c r="D159" i="2"/>
  <c r="C159" i="2"/>
  <c r="AS158" i="2"/>
  <c r="AR158" i="2"/>
  <c r="AQ158" i="2"/>
  <c r="AP158" i="2"/>
  <c r="AO158" i="2"/>
  <c r="AN158" i="2"/>
  <c r="AM158" i="2"/>
  <c r="AL158" i="2"/>
  <c r="AK158" i="2"/>
  <c r="AJ158" i="2"/>
  <c r="AI158" i="2"/>
  <c r="AH158" i="2"/>
  <c r="AG158" i="2"/>
  <c r="AF158" i="2"/>
  <c r="AE158" i="2"/>
  <c r="AD158" i="2"/>
  <c r="AC158" i="2"/>
  <c r="AB158" i="2"/>
  <c r="AA158" i="2"/>
  <c r="Z158" i="2"/>
  <c r="Y158" i="2"/>
  <c r="X158" i="2"/>
  <c r="W158" i="2"/>
  <c r="V158" i="2"/>
  <c r="U158" i="2"/>
  <c r="T158" i="2"/>
  <c r="S158" i="2"/>
  <c r="R158" i="2"/>
  <c r="Q158" i="2"/>
  <c r="P158" i="2"/>
  <c r="O158" i="2"/>
  <c r="N158" i="2"/>
  <c r="M158" i="2"/>
  <c r="L158" i="2"/>
  <c r="K158" i="2"/>
  <c r="J158" i="2"/>
  <c r="I158" i="2"/>
  <c r="H158" i="2"/>
  <c r="G158" i="2"/>
  <c r="F158" i="2"/>
  <c r="E158" i="2"/>
  <c r="D158" i="2"/>
  <c r="C158" i="2"/>
  <c r="AS157" i="2"/>
  <c r="AR157" i="2"/>
  <c r="AQ157" i="2"/>
  <c r="AP157" i="2"/>
  <c r="AO157" i="2"/>
  <c r="AN157" i="2"/>
  <c r="AM157" i="2"/>
  <c r="AL157" i="2"/>
  <c r="AK157" i="2"/>
  <c r="AJ157" i="2"/>
  <c r="AI157" i="2"/>
  <c r="AH157" i="2"/>
  <c r="AG157" i="2"/>
  <c r="AF157" i="2"/>
  <c r="AE157" i="2"/>
  <c r="AD157" i="2"/>
  <c r="AC157" i="2"/>
  <c r="AB157" i="2"/>
  <c r="AA157" i="2"/>
  <c r="Z157" i="2"/>
  <c r="Y157" i="2"/>
  <c r="X157" i="2"/>
  <c r="W157" i="2"/>
  <c r="V157" i="2"/>
  <c r="U157" i="2"/>
  <c r="T157" i="2"/>
  <c r="S157" i="2"/>
  <c r="R157" i="2"/>
  <c r="R165" i="2" s="1"/>
  <c r="Q157" i="2"/>
  <c r="P157" i="2"/>
  <c r="O157" i="2"/>
  <c r="N157" i="2"/>
  <c r="M157" i="2"/>
  <c r="L157" i="2"/>
  <c r="K157" i="2"/>
  <c r="J157" i="2"/>
  <c r="I157" i="2"/>
  <c r="H157" i="2"/>
  <c r="G157" i="2"/>
  <c r="F157" i="2"/>
  <c r="E157" i="2"/>
  <c r="D157" i="2"/>
  <c r="C157" i="2"/>
  <c r="AS156" i="2"/>
  <c r="AR156" i="2"/>
  <c r="AQ156" i="2"/>
  <c r="AP156" i="2"/>
  <c r="AO156" i="2"/>
  <c r="AN156" i="2"/>
  <c r="AM156" i="2"/>
  <c r="AL156" i="2"/>
  <c r="AK156" i="2"/>
  <c r="AJ156" i="2"/>
  <c r="AI156" i="2"/>
  <c r="AH156" i="2"/>
  <c r="AG156" i="2"/>
  <c r="AF156" i="2"/>
  <c r="AE156" i="2"/>
  <c r="AD156" i="2"/>
  <c r="AC156" i="2"/>
  <c r="AB156" i="2"/>
  <c r="AA156" i="2"/>
  <c r="Z156" i="2"/>
  <c r="Y156" i="2"/>
  <c r="X156" i="2"/>
  <c r="W156" i="2"/>
  <c r="V156" i="2"/>
  <c r="U156" i="2"/>
  <c r="T156" i="2"/>
  <c r="S156" i="2"/>
  <c r="R156" i="2"/>
  <c r="Q156" i="2"/>
  <c r="P156" i="2"/>
  <c r="O156" i="2"/>
  <c r="N156" i="2"/>
  <c r="M156" i="2"/>
  <c r="L156" i="2"/>
  <c r="K156" i="2"/>
  <c r="J156" i="2"/>
  <c r="I156" i="2"/>
  <c r="H156" i="2"/>
  <c r="G156" i="2"/>
  <c r="F156" i="2"/>
  <c r="E156" i="2"/>
  <c r="E165" i="2" s="1"/>
  <c r="E36" i="2" s="1"/>
  <c r="D156" i="2"/>
  <c r="C156" i="2"/>
  <c r="AS155" i="2"/>
  <c r="AR155" i="2"/>
  <c r="AQ155" i="2"/>
  <c r="AP155" i="2"/>
  <c r="AO155" i="2"/>
  <c r="AN155" i="2"/>
  <c r="AM155" i="2"/>
  <c r="AL155" i="2"/>
  <c r="AK155" i="2"/>
  <c r="AJ155" i="2"/>
  <c r="AI155" i="2"/>
  <c r="AH155" i="2"/>
  <c r="AG155" i="2"/>
  <c r="AF155" i="2"/>
  <c r="AE155" i="2"/>
  <c r="AD155" i="2"/>
  <c r="AC155" i="2"/>
  <c r="AB155" i="2"/>
  <c r="AA155" i="2"/>
  <c r="Z155" i="2"/>
  <c r="Y155" i="2"/>
  <c r="X155" i="2"/>
  <c r="W155" i="2"/>
  <c r="V155" i="2"/>
  <c r="U155" i="2"/>
  <c r="T155" i="2"/>
  <c r="S155" i="2"/>
  <c r="R155" i="2"/>
  <c r="Q155" i="2"/>
  <c r="P155" i="2"/>
  <c r="O155" i="2"/>
  <c r="N155" i="2"/>
  <c r="M155" i="2"/>
  <c r="L155" i="2"/>
  <c r="K155" i="2"/>
  <c r="J155" i="2"/>
  <c r="I155" i="2"/>
  <c r="H155" i="2"/>
  <c r="G155" i="2"/>
  <c r="F155" i="2"/>
  <c r="E155" i="2"/>
  <c r="D155" i="2"/>
  <c r="C155" i="2"/>
  <c r="AS154" i="2"/>
  <c r="AR154" i="2"/>
  <c r="AQ154" i="2"/>
  <c r="AP154" i="2"/>
  <c r="AO154" i="2"/>
  <c r="AN154" i="2"/>
  <c r="AM154" i="2"/>
  <c r="AL154" i="2"/>
  <c r="AK154" i="2"/>
  <c r="AJ154" i="2"/>
  <c r="AI154" i="2"/>
  <c r="AI165" i="2" s="1"/>
  <c r="AI42" i="2" s="1"/>
  <c r="AH154" i="2"/>
  <c r="AG154" i="2"/>
  <c r="AF154" i="2"/>
  <c r="AE154" i="2"/>
  <c r="AD154" i="2"/>
  <c r="AC154" i="2"/>
  <c r="AB154" i="2"/>
  <c r="AA154" i="2"/>
  <c r="Z154" i="2"/>
  <c r="Y154" i="2"/>
  <c r="X154" i="2"/>
  <c r="W154" i="2"/>
  <c r="V154" i="2"/>
  <c r="U154" i="2"/>
  <c r="T154" i="2"/>
  <c r="S154" i="2"/>
  <c r="R154" i="2"/>
  <c r="Q154" i="2"/>
  <c r="P154" i="2"/>
  <c r="O154" i="2"/>
  <c r="N154" i="2"/>
  <c r="M154" i="2"/>
  <c r="L154" i="2"/>
  <c r="K154" i="2"/>
  <c r="J154" i="2"/>
  <c r="I154" i="2"/>
  <c r="H154" i="2"/>
  <c r="G154" i="2"/>
  <c r="F154" i="2"/>
  <c r="E154" i="2"/>
  <c r="D154" i="2"/>
  <c r="C154" i="2"/>
  <c r="AS150" i="2"/>
  <c r="AR150" i="2"/>
  <c r="AQ150" i="2"/>
  <c r="AP150" i="2"/>
  <c r="AO150" i="2"/>
  <c r="AN150" i="2"/>
  <c r="AM150" i="2"/>
  <c r="AL150" i="2"/>
  <c r="AK150" i="2"/>
  <c r="AJ150" i="2"/>
  <c r="AI150" i="2"/>
  <c r="AH150" i="2"/>
  <c r="AG150" i="2"/>
  <c r="AF150" i="2"/>
  <c r="AE150" i="2"/>
  <c r="AD150" i="2"/>
  <c r="AC150" i="2"/>
  <c r="AB150" i="2"/>
  <c r="AA150" i="2"/>
  <c r="Z150" i="2"/>
  <c r="Y150" i="2"/>
  <c r="X150" i="2"/>
  <c r="W150" i="2"/>
  <c r="V150" i="2"/>
  <c r="U150" i="2"/>
  <c r="T150" i="2"/>
  <c r="S150" i="2"/>
  <c r="R150" i="2"/>
  <c r="Q150" i="2"/>
  <c r="P150" i="2"/>
  <c r="O150" i="2"/>
  <c r="N150" i="2"/>
  <c r="M150" i="2"/>
  <c r="L150" i="2"/>
  <c r="K150" i="2"/>
  <c r="J150" i="2"/>
  <c r="I150" i="2"/>
  <c r="H150" i="2"/>
  <c r="G150" i="2"/>
  <c r="F150" i="2"/>
  <c r="E150" i="2"/>
  <c r="D150" i="2"/>
  <c r="C150" i="2"/>
  <c r="AS149" i="2"/>
  <c r="AR149" i="2"/>
  <c r="AQ149" i="2"/>
  <c r="AP149" i="2"/>
  <c r="AO149" i="2"/>
  <c r="AN149" i="2"/>
  <c r="AM149" i="2"/>
  <c r="AL149" i="2"/>
  <c r="AK149" i="2"/>
  <c r="AJ149" i="2"/>
  <c r="AI149" i="2"/>
  <c r="AH149" i="2"/>
  <c r="AG149" i="2"/>
  <c r="AF149" i="2"/>
  <c r="AE149" i="2"/>
  <c r="AD149" i="2"/>
  <c r="AC149" i="2"/>
  <c r="AB149" i="2"/>
  <c r="AA149" i="2"/>
  <c r="Z149" i="2"/>
  <c r="Y149" i="2"/>
  <c r="X149" i="2"/>
  <c r="W149" i="2"/>
  <c r="V149" i="2"/>
  <c r="U149" i="2"/>
  <c r="T149" i="2"/>
  <c r="S149" i="2"/>
  <c r="R149" i="2"/>
  <c r="Q149" i="2"/>
  <c r="P149" i="2"/>
  <c r="O149" i="2"/>
  <c r="N149" i="2"/>
  <c r="M149" i="2"/>
  <c r="L149" i="2"/>
  <c r="K149" i="2"/>
  <c r="J149" i="2"/>
  <c r="I149" i="2"/>
  <c r="H149" i="2"/>
  <c r="G149" i="2"/>
  <c r="F149" i="2"/>
  <c r="E149" i="2"/>
  <c r="D149" i="2"/>
  <c r="C149" i="2"/>
  <c r="AS148" i="2"/>
  <c r="AR148" i="2"/>
  <c r="AQ148" i="2"/>
  <c r="AP148" i="2"/>
  <c r="AO148" i="2"/>
  <c r="AN148" i="2"/>
  <c r="AM148" i="2"/>
  <c r="AL148" i="2"/>
  <c r="AK148" i="2"/>
  <c r="AJ148" i="2"/>
  <c r="AI148" i="2"/>
  <c r="AH148" i="2"/>
  <c r="AG148" i="2"/>
  <c r="AF148" i="2"/>
  <c r="AE148" i="2"/>
  <c r="AD148" i="2"/>
  <c r="AC148" i="2"/>
  <c r="AB148" i="2"/>
  <c r="AA148" i="2"/>
  <c r="Z148" i="2"/>
  <c r="Y148" i="2"/>
  <c r="X148" i="2"/>
  <c r="W148" i="2"/>
  <c r="V148" i="2"/>
  <c r="U148" i="2"/>
  <c r="T148" i="2"/>
  <c r="S148" i="2"/>
  <c r="R148" i="2"/>
  <c r="Q148" i="2"/>
  <c r="P148" i="2"/>
  <c r="O148" i="2"/>
  <c r="N148" i="2"/>
  <c r="M148" i="2"/>
  <c r="L148" i="2"/>
  <c r="K148" i="2"/>
  <c r="J148" i="2"/>
  <c r="I148" i="2"/>
  <c r="H148" i="2"/>
  <c r="G148" i="2"/>
  <c r="F148" i="2"/>
  <c r="E148" i="2"/>
  <c r="D148" i="2"/>
  <c r="C148" i="2"/>
  <c r="AS147" i="2"/>
  <c r="AR147" i="2"/>
  <c r="AQ147" i="2"/>
  <c r="AP147" i="2"/>
  <c r="AO147" i="2"/>
  <c r="AN147" i="2"/>
  <c r="AM147" i="2"/>
  <c r="AL147" i="2"/>
  <c r="AK147" i="2"/>
  <c r="AJ147" i="2"/>
  <c r="AI147" i="2"/>
  <c r="AH147" i="2"/>
  <c r="AG147" i="2"/>
  <c r="AF147" i="2"/>
  <c r="AE147" i="2"/>
  <c r="AD147" i="2"/>
  <c r="AC147" i="2"/>
  <c r="AB147" i="2"/>
  <c r="AA147" i="2"/>
  <c r="Z147" i="2"/>
  <c r="Y147" i="2"/>
  <c r="X147" i="2"/>
  <c r="W147" i="2"/>
  <c r="V147" i="2"/>
  <c r="U147" i="2"/>
  <c r="T147" i="2"/>
  <c r="S147" i="2"/>
  <c r="R147" i="2"/>
  <c r="Q147" i="2"/>
  <c r="P147" i="2"/>
  <c r="O147" i="2"/>
  <c r="N147" i="2"/>
  <c r="M147" i="2"/>
  <c r="L147" i="2"/>
  <c r="K147" i="2"/>
  <c r="J147" i="2"/>
  <c r="I147" i="2"/>
  <c r="H147" i="2"/>
  <c r="G147" i="2"/>
  <c r="F147" i="2"/>
  <c r="E147" i="2"/>
  <c r="D147" i="2"/>
  <c r="C147" i="2"/>
  <c r="AS146" i="2"/>
  <c r="AR146" i="2"/>
  <c r="AQ146" i="2"/>
  <c r="AP146" i="2"/>
  <c r="AO146" i="2"/>
  <c r="AN146" i="2"/>
  <c r="AM146" i="2"/>
  <c r="AL146" i="2"/>
  <c r="AK146" i="2"/>
  <c r="AJ146" i="2"/>
  <c r="AI146" i="2"/>
  <c r="AH146" i="2"/>
  <c r="AG146" i="2"/>
  <c r="AF146" i="2"/>
  <c r="AE146" i="2"/>
  <c r="AD146" i="2"/>
  <c r="AC146" i="2"/>
  <c r="AB146" i="2"/>
  <c r="AA146" i="2"/>
  <c r="Z146" i="2"/>
  <c r="Y146" i="2"/>
  <c r="X146" i="2"/>
  <c r="W146" i="2"/>
  <c r="V146" i="2"/>
  <c r="U146" i="2"/>
  <c r="T146" i="2"/>
  <c r="S146" i="2"/>
  <c r="R146" i="2"/>
  <c r="Q146" i="2"/>
  <c r="P146" i="2"/>
  <c r="O146" i="2"/>
  <c r="N146" i="2"/>
  <c r="M146" i="2"/>
  <c r="L146" i="2"/>
  <c r="K146" i="2"/>
  <c r="J146" i="2"/>
  <c r="I146" i="2"/>
  <c r="H146" i="2"/>
  <c r="G146" i="2"/>
  <c r="F146" i="2"/>
  <c r="E146" i="2"/>
  <c r="D146" i="2"/>
  <c r="C146" i="2"/>
  <c r="AS145" i="2"/>
  <c r="AR145" i="2"/>
  <c r="AQ145" i="2"/>
  <c r="AP145" i="2"/>
  <c r="AO145" i="2"/>
  <c r="AN145" i="2"/>
  <c r="AM145" i="2"/>
  <c r="AL145" i="2"/>
  <c r="AK145" i="2"/>
  <c r="AJ145" i="2"/>
  <c r="AI145" i="2"/>
  <c r="AH145" i="2"/>
  <c r="AG145" i="2"/>
  <c r="AF145" i="2"/>
  <c r="AE145" i="2"/>
  <c r="AD145" i="2"/>
  <c r="AC145" i="2"/>
  <c r="AB145" i="2"/>
  <c r="AA145" i="2"/>
  <c r="Z145" i="2"/>
  <c r="Y145" i="2"/>
  <c r="X145" i="2"/>
  <c r="W145" i="2"/>
  <c r="V145" i="2"/>
  <c r="U145" i="2"/>
  <c r="T145" i="2"/>
  <c r="S145" i="2"/>
  <c r="R145" i="2"/>
  <c r="Q145" i="2"/>
  <c r="P145" i="2"/>
  <c r="O145" i="2"/>
  <c r="N145" i="2"/>
  <c r="N151" i="2" s="1"/>
  <c r="N39" i="2" s="1"/>
  <c r="M145" i="2"/>
  <c r="L145" i="2"/>
  <c r="K145" i="2"/>
  <c r="J145" i="2"/>
  <c r="I145" i="2"/>
  <c r="H145" i="2"/>
  <c r="G145" i="2"/>
  <c r="F145" i="2"/>
  <c r="E145" i="2"/>
  <c r="D145" i="2"/>
  <c r="C145" i="2"/>
  <c r="AS144" i="2"/>
  <c r="AR144" i="2"/>
  <c r="AQ144" i="2"/>
  <c r="AP144" i="2"/>
  <c r="AO144" i="2"/>
  <c r="AN144" i="2"/>
  <c r="AM144" i="2"/>
  <c r="AL144" i="2"/>
  <c r="AK144" i="2"/>
  <c r="AJ144" i="2"/>
  <c r="AI144" i="2"/>
  <c r="AH144" i="2"/>
  <c r="AG144" i="2"/>
  <c r="AF144" i="2"/>
  <c r="AE144" i="2"/>
  <c r="AD144" i="2"/>
  <c r="AC144" i="2"/>
  <c r="AB144" i="2"/>
  <c r="AA144" i="2"/>
  <c r="Z144" i="2"/>
  <c r="Y144" i="2"/>
  <c r="X144" i="2"/>
  <c r="W144" i="2"/>
  <c r="V144" i="2"/>
  <c r="U144" i="2"/>
  <c r="T144" i="2"/>
  <c r="S144" i="2"/>
  <c r="R144" i="2"/>
  <c r="Q144" i="2"/>
  <c r="P144" i="2"/>
  <c r="O144" i="2"/>
  <c r="N144" i="2"/>
  <c r="M144" i="2"/>
  <c r="L144" i="2"/>
  <c r="K144" i="2"/>
  <c r="J144" i="2"/>
  <c r="I144" i="2"/>
  <c r="H144" i="2"/>
  <c r="G144" i="2"/>
  <c r="F144" i="2"/>
  <c r="E144" i="2"/>
  <c r="D144" i="2"/>
  <c r="C144" i="2"/>
  <c r="AS143" i="2"/>
  <c r="AR143" i="2"/>
  <c r="AQ143" i="2"/>
  <c r="AP143" i="2"/>
  <c r="AO143" i="2"/>
  <c r="AN143" i="2"/>
  <c r="AM143" i="2"/>
  <c r="AL143" i="2"/>
  <c r="AK143" i="2"/>
  <c r="AJ143" i="2"/>
  <c r="AI143" i="2"/>
  <c r="AH143" i="2"/>
  <c r="AG143" i="2"/>
  <c r="AF143" i="2"/>
  <c r="AE143" i="2"/>
  <c r="AD143" i="2"/>
  <c r="AC143" i="2"/>
  <c r="AB143" i="2"/>
  <c r="AA143" i="2"/>
  <c r="Z143" i="2"/>
  <c r="Y143" i="2"/>
  <c r="X143" i="2"/>
  <c r="W143" i="2"/>
  <c r="V143" i="2"/>
  <c r="U143" i="2"/>
  <c r="T143" i="2"/>
  <c r="S143" i="2"/>
  <c r="R143" i="2"/>
  <c r="Q143" i="2"/>
  <c r="P143" i="2"/>
  <c r="O143" i="2"/>
  <c r="N143" i="2"/>
  <c r="M143" i="2"/>
  <c r="L143" i="2"/>
  <c r="K143" i="2"/>
  <c r="J143" i="2"/>
  <c r="I143" i="2"/>
  <c r="H143" i="2"/>
  <c r="G143" i="2"/>
  <c r="F143" i="2"/>
  <c r="E143" i="2"/>
  <c r="D143" i="2"/>
  <c r="C143" i="2"/>
  <c r="AS142" i="2"/>
  <c r="AR142" i="2"/>
  <c r="AQ142" i="2"/>
  <c r="AP142" i="2"/>
  <c r="AO142" i="2"/>
  <c r="AN142" i="2"/>
  <c r="AM142" i="2"/>
  <c r="AL142" i="2"/>
  <c r="AK142" i="2"/>
  <c r="AJ142" i="2"/>
  <c r="AI142" i="2"/>
  <c r="AH142" i="2"/>
  <c r="AG142" i="2"/>
  <c r="AF142" i="2"/>
  <c r="AE142" i="2"/>
  <c r="AD142" i="2"/>
  <c r="AC142" i="2"/>
  <c r="AB142" i="2"/>
  <c r="AA142" i="2"/>
  <c r="Z142" i="2"/>
  <c r="Y142" i="2"/>
  <c r="X142" i="2"/>
  <c r="W142" i="2"/>
  <c r="V142" i="2"/>
  <c r="U142" i="2"/>
  <c r="T142" i="2"/>
  <c r="S142" i="2"/>
  <c r="R142" i="2"/>
  <c r="Q142" i="2"/>
  <c r="Q151" i="2" s="1"/>
  <c r="P142" i="2"/>
  <c r="O142" i="2"/>
  <c r="N142" i="2"/>
  <c r="M142" i="2"/>
  <c r="L142" i="2"/>
  <c r="K142" i="2"/>
  <c r="J142" i="2"/>
  <c r="I142" i="2"/>
  <c r="H142" i="2"/>
  <c r="G142" i="2"/>
  <c r="F142" i="2"/>
  <c r="E142" i="2"/>
  <c r="D142" i="2"/>
  <c r="C142" i="2"/>
  <c r="AS141" i="2"/>
  <c r="AR141" i="2"/>
  <c r="AQ141" i="2"/>
  <c r="AP141" i="2"/>
  <c r="AO141" i="2"/>
  <c r="AN141" i="2"/>
  <c r="AM141" i="2"/>
  <c r="AL141" i="2"/>
  <c r="AK141" i="2"/>
  <c r="AJ141" i="2"/>
  <c r="AI141" i="2"/>
  <c r="AH141" i="2"/>
  <c r="AG141" i="2"/>
  <c r="AF141" i="2"/>
  <c r="AE141" i="2"/>
  <c r="AD141" i="2"/>
  <c r="AC141" i="2"/>
  <c r="AB141" i="2"/>
  <c r="AA141" i="2"/>
  <c r="Z141" i="2"/>
  <c r="Y141" i="2"/>
  <c r="X141" i="2"/>
  <c r="W141" i="2"/>
  <c r="V141" i="2"/>
  <c r="U141" i="2"/>
  <c r="T141" i="2"/>
  <c r="S141" i="2"/>
  <c r="R141" i="2"/>
  <c r="Q141" i="2"/>
  <c r="P141" i="2"/>
  <c r="O141" i="2"/>
  <c r="N141" i="2"/>
  <c r="M141" i="2"/>
  <c r="L141" i="2"/>
  <c r="K141" i="2"/>
  <c r="J141" i="2"/>
  <c r="I141" i="2"/>
  <c r="H141" i="2"/>
  <c r="G141" i="2"/>
  <c r="F141" i="2"/>
  <c r="E141" i="2"/>
  <c r="D141" i="2"/>
  <c r="C141" i="2"/>
  <c r="AS140" i="2"/>
  <c r="AR140" i="2"/>
  <c r="AQ140" i="2"/>
  <c r="AP140" i="2"/>
  <c r="AO140" i="2"/>
  <c r="AO151" i="2" s="1"/>
  <c r="AO39" i="2" s="1"/>
  <c r="AN140" i="2"/>
  <c r="AM140" i="2"/>
  <c r="AL140" i="2"/>
  <c r="AK140" i="2"/>
  <c r="AJ140" i="2"/>
  <c r="AI140" i="2"/>
  <c r="AH140" i="2"/>
  <c r="AG140" i="2"/>
  <c r="AF140" i="2"/>
  <c r="AE140" i="2"/>
  <c r="AD140" i="2"/>
  <c r="AC140" i="2"/>
  <c r="AB140" i="2"/>
  <c r="AA140" i="2"/>
  <c r="Z140" i="2"/>
  <c r="Y140" i="2"/>
  <c r="X140" i="2"/>
  <c r="W140" i="2"/>
  <c r="V140" i="2"/>
  <c r="U140" i="2"/>
  <c r="U151" i="2" s="1"/>
  <c r="U33" i="2" s="1"/>
  <c r="T140" i="2"/>
  <c r="S140" i="2"/>
  <c r="R140" i="2"/>
  <c r="Q140" i="2"/>
  <c r="P140" i="2"/>
  <c r="O140" i="2"/>
  <c r="N140" i="2"/>
  <c r="M140" i="2"/>
  <c r="L140" i="2"/>
  <c r="K140" i="2"/>
  <c r="J140" i="2"/>
  <c r="I140" i="2"/>
  <c r="H140" i="2"/>
  <c r="G140" i="2"/>
  <c r="F140" i="2"/>
  <c r="F151" i="2" s="1"/>
  <c r="E140" i="2"/>
  <c r="E151" i="2" s="1"/>
  <c r="D140" i="2"/>
  <c r="C140" i="2"/>
  <c r="AS136" i="2"/>
  <c r="AR136" i="2"/>
  <c r="AQ136" i="2"/>
  <c r="AP136" i="2"/>
  <c r="AO136" i="2"/>
  <c r="AN136" i="2"/>
  <c r="AM136" i="2"/>
  <c r="AL136" i="2"/>
  <c r="AK136" i="2"/>
  <c r="AJ136" i="2"/>
  <c r="AI136" i="2"/>
  <c r="AH136" i="2"/>
  <c r="AG136" i="2"/>
  <c r="AF136" i="2"/>
  <c r="AE136" i="2"/>
  <c r="AD136" i="2"/>
  <c r="AC136" i="2"/>
  <c r="AB136" i="2"/>
  <c r="AA136" i="2"/>
  <c r="Z136" i="2"/>
  <c r="Y136" i="2"/>
  <c r="X136" i="2"/>
  <c r="W136" i="2"/>
  <c r="V136" i="2"/>
  <c r="U136" i="2"/>
  <c r="T136" i="2"/>
  <c r="S136" i="2"/>
  <c r="R136" i="2"/>
  <c r="Q136" i="2"/>
  <c r="P136" i="2"/>
  <c r="O136" i="2"/>
  <c r="N136" i="2"/>
  <c r="M136" i="2"/>
  <c r="L136" i="2"/>
  <c r="K136" i="2"/>
  <c r="J136" i="2"/>
  <c r="I136" i="2"/>
  <c r="H136" i="2"/>
  <c r="G136" i="2"/>
  <c r="F136" i="2"/>
  <c r="E136" i="2"/>
  <c r="D136" i="2"/>
  <c r="C136" i="2"/>
  <c r="AS135" i="2"/>
  <c r="AR135" i="2"/>
  <c r="AQ135" i="2"/>
  <c r="AP135" i="2"/>
  <c r="AO135" i="2"/>
  <c r="AN135" i="2"/>
  <c r="AM135" i="2"/>
  <c r="AL135" i="2"/>
  <c r="AK135" i="2"/>
  <c r="AJ135" i="2"/>
  <c r="AI135" i="2"/>
  <c r="AH135" i="2"/>
  <c r="AG135" i="2"/>
  <c r="AF135" i="2"/>
  <c r="AE135" i="2"/>
  <c r="AD135" i="2"/>
  <c r="AC135" i="2"/>
  <c r="AB135" i="2"/>
  <c r="AA135" i="2"/>
  <c r="Z135" i="2"/>
  <c r="Y135" i="2"/>
  <c r="X135" i="2"/>
  <c r="W135" i="2"/>
  <c r="V135" i="2"/>
  <c r="U135" i="2"/>
  <c r="T135" i="2"/>
  <c r="S135" i="2"/>
  <c r="R135" i="2"/>
  <c r="Q135" i="2"/>
  <c r="P135" i="2"/>
  <c r="O135" i="2"/>
  <c r="N135" i="2"/>
  <c r="M135" i="2"/>
  <c r="L135" i="2"/>
  <c r="K135" i="2"/>
  <c r="J135" i="2"/>
  <c r="I135" i="2"/>
  <c r="H135" i="2"/>
  <c r="G135" i="2"/>
  <c r="F135" i="2"/>
  <c r="E135" i="2"/>
  <c r="D135" i="2"/>
  <c r="C135" i="2"/>
  <c r="AS134" i="2"/>
  <c r="AR134" i="2"/>
  <c r="AQ134" i="2"/>
  <c r="AP134" i="2"/>
  <c r="AO134" i="2"/>
  <c r="AN134" i="2"/>
  <c r="AM134" i="2"/>
  <c r="AL134" i="2"/>
  <c r="AK134" i="2"/>
  <c r="AJ134" i="2"/>
  <c r="AI134" i="2"/>
  <c r="AH134" i="2"/>
  <c r="AG134" i="2"/>
  <c r="AF134" i="2"/>
  <c r="AE134" i="2"/>
  <c r="AD134" i="2"/>
  <c r="AC134" i="2"/>
  <c r="AB134" i="2"/>
  <c r="AA134" i="2"/>
  <c r="Z134" i="2"/>
  <c r="Y134" i="2"/>
  <c r="X134" i="2"/>
  <c r="W134" i="2"/>
  <c r="V134" i="2"/>
  <c r="U134" i="2"/>
  <c r="T134" i="2"/>
  <c r="S134" i="2"/>
  <c r="R134" i="2"/>
  <c r="Q134" i="2"/>
  <c r="P134" i="2"/>
  <c r="O134" i="2"/>
  <c r="N134" i="2"/>
  <c r="M134" i="2"/>
  <c r="L134" i="2"/>
  <c r="K134" i="2"/>
  <c r="J134" i="2"/>
  <c r="I134" i="2"/>
  <c r="H134" i="2"/>
  <c r="G134" i="2"/>
  <c r="F134" i="2"/>
  <c r="E134" i="2"/>
  <c r="D134" i="2"/>
  <c r="C134" i="2"/>
  <c r="AS133" i="2"/>
  <c r="AR133" i="2"/>
  <c r="AQ133" i="2"/>
  <c r="AP133" i="2"/>
  <c r="AO133" i="2"/>
  <c r="AN133" i="2"/>
  <c r="AM133" i="2"/>
  <c r="AL133" i="2"/>
  <c r="AK133" i="2"/>
  <c r="AJ133" i="2"/>
  <c r="AI133" i="2"/>
  <c r="AH133" i="2"/>
  <c r="AG133" i="2"/>
  <c r="AF133" i="2"/>
  <c r="AE133" i="2"/>
  <c r="AD133" i="2"/>
  <c r="AC133" i="2"/>
  <c r="AB133" i="2"/>
  <c r="AA133" i="2"/>
  <c r="Z133" i="2"/>
  <c r="Y133" i="2"/>
  <c r="X133" i="2"/>
  <c r="W133" i="2"/>
  <c r="V133" i="2"/>
  <c r="U133" i="2"/>
  <c r="T133" i="2"/>
  <c r="S133" i="2"/>
  <c r="R133" i="2"/>
  <c r="Q133" i="2"/>
  <c r="P133" i="2"/>
  <c r="O133" i="2"/>
  <c r="N133" i="2"/>
  <c r="M133" i="2"/>
  <c r="L133" i="2"/>
  <c r="K133" i="2"/>
  <c r="J133" i="2"/>
  <c r="I133" i="2"/>
  <c r="H133" i="2"/>
  <c r="G133" i="2"/>
  <c r="F133" i="2"/>
  <c r="E133" i="2"/>
  <c r="D133" i="2"/>
  <c r="C133" i="2"/>
  <c r="AS132" i="2"/>
  <c r="AR132" i="2"/>
  <c r="AQ132" i="2"/>
  <c r="AP132" i="2"/>
  <c r="AO132" i="2"/>
  <c r="AN132" i="2"/>
  <c r="AM132" i="2"/>
  <c r="AL132" i="2"/>
  <c r="AK132" i="2"/>
  <c r="AJ132" i="2"/>
  <c r="AI132" i="2"/>
  <c r="AH132" i="2"/>
  <c r="AG132" i="2"/>
  <c r="AF132" i="2"/>
  <c r="AE132" i="2"/>
  <c r="AD132" i="2"/>
  <c r="AC132" i="2"/>
  <c r="AB132" i="2"/>
  <c r="AA132" i="2"/>
  <c r="Z132" i="2"/>
  <c r="Y132" i="2"/>
  <c r="X132" i="2"/>
  <c r="W132" i="2"/>
  <c r="V132" i="2"/>
  <c r="U132" i="2"/>
  <c r="T132" i="2"/>
  <c r="S132" i="2"/>
  <c r="R132" i="2"/>
  <c r="Q132" i="2"/>
  <c r="P132" i="2"/>
  <c r="O132" i="2"/>
  <c r="N132" i="2"/>
  <c r="M132" i="2"/>
  <c r="L132" i="2"/>
  <c r="K132" i="2"/>
  <c r="J132" i="2"/>
  <c r="I132" i="2"/>
  <c r="H132" i="2"/>
  <c r="G132" i="2"/>
  <c r="F132" i="2"/>
  <c r="E132" i="2"/>
  <c r="D132" i="2"/>
  <c r="C132" i="2"/>
  <c r="AS131" i="2"/>
  <c r="AR131" i="2"/>
  <c r="AQ131" i="2"/>
  <c r="AP131" i="2"/>
  <c r="AO131" i="2"/>
  <c r="AN131" i="2"/>
  <c r="AM131" i="2"/>
  <c r="AL131" i="2"/>
  <c r="AK131" i="2"/>
  <c r="AJ131" i="2"/>
  <c r="AI131" i="2"/>
  <c r="AH131" i="2"/>
  <c r="AG131" i="2"/>
  <c r="AF131" i="2"/>
  <c r="AE131" i="2"/>
  <c r="AD131" i="2"/>
  <c r="AC131" i="2"/>
  <c r="AB131" i="2"/>
  <c r="AA131" i="2"/>
  <c r="Z131" i="2"/>
  <c r="Y131" i="2"/>
  <c r="X131" i="2"/>
  <c r="W131" i="2"/>
  <c r="V131" i="2"/>
  <c r="U131" i="2"/>
  <c r="T131" i="2"/>
  <c r="S131" i="2"/>
  <c r="R131" i="2"/>
  <c r="Q131" i="2"/>
  <c r="P131" i="2"/>
  <c r="O131" i="2"/>
  <c r="N131" i="2"/>
  <c r="M131" i="2"/>
  <c r="L131" i="2"/>
  <c r="K131" i="2"/>
  <c r="J131" i="2"/>
  <c r="I131" i="2"/>
  <c r="H131" i="2"/>
  <c r="G131" i="2"/>
  <c r="F131" i="2"/>
  <c r="E131" i="2"/>
  <c r="D131" i="2"/>
  <c r="C131" i="2"/>
  <c r="AS130" i="2"/>
  <c r="AR130" i="2"/>
  <c r="AQ130" i="2"/>
  <c r="AP130" i="2"/>
  <c r="AO130" i="2"/>
  <c r="AN130" i="2"/>
  <c r="AM130" i="2"/>
  <c r="AL130" i="2"/>
  <c r="AK130" i="2"/>
  <c r="AJ130" i="2"/>
  <c r="AI130" i="2"/>
  <c r="AH130" i="2"/>
  <c r="AG130" i="2"/>
  <c r="AF130" i="2"/>
  <c r="AE130" i="2"/>
  <c r="AD130" i="2"/>
  <c r="AC130" i="2"/>
  <c r="AB130" i="2"/>
  <c r="AA130" i="2"/>
  <c r="Z130" i="2"/>
  <c r="Y130" i="2"/>
  <c r="X130" i="2"/>
  <c r="W130" i="2"/>
  <c r="V130" i="2"/>
  <c r="U130" i="2"/>
  <c r="T130" i="2"/>
  <c r="S130" i="2"/>
  <c r="R130" i="2"/>
  <c r="Q130" i="2"/>
  <c r="P130" i="2"/>
  <c r="O130" i="2"/>
  <c r="N130" i="2"/>
  <c r="M130" i="2"/>
  <c r="L130" i="2"/>
  <c r="K130" i="2"/>
  <c r="J130" i="2"/>
  <c r="I130" i="2"/>
  <c r="H130" i="2"/>
  <c r="G130" i="2"/>
  <c r="F130" i="2"/>
  <c r="E130" i="2"/>
  <c r="D130" i="2"/>
  <c r="C130" i="2"/>
  <c r="AS129" i="2"/>
  <c r="AR129" i="2"/>
  <c r="AQ129" i="2"/>
  <c r="AP129" i="2"/>
  <c r="AO129" i="2"/>
  <c r="AN129" i="2"/>
  <c r="AM129" i="2"/>
  <c r="AL129" i="2"/>
  <c r="AK129" i="2"/>
  <c r="AJ129" i="2"/>
  <c r="AI129" i="2"/>
  <c r="AH129" i="2"/>
  <c r="AG129" i="2"/>
  <c r="AF129" i="2"/>
  <c r="AE129" i="2"/>
  <c r="AD129" i="2"/>
  <c r="AC129" i="2"/>
  <c r="AB129" i="2"/>
  <c r="AA129" i="2"/>
  <c r="Z129" i="2"/>
  <c r="Y129" i="2"/>
  <c r="X129" i="2"/>
  <c r="W129" i="2"/>
  <c r="V129" i="2"/>
  <c r="U129" i="2"/>
  <c r="T129" i="2"/>
  <c r="S129" i="2"/>
  <c r="R129" i="2"/>
  <c r="Q129" i="2"/>
  <c r="P129" i="2"/>
  <c r="O129" i="2"/>
  <c r="N129" i="2"/>
  <c r="M129" i="2"/>
  <c r="L129" i="2"/>
  <c r="K129" i="2"/>
  <c r="J129" i="2"/>
  <c r="I129" i="2"/>
  <c r="H129" i="2"/>
  <c r="G129" i="2"/>
  <c r="F129" i="2"/>
  <c r="E129" i="2"/>
  <c r="D129" i="2"/>
  <c r="C129" i="2"/>
  <c r="AS128" i="2"/>
  <c r="AR128" i="2"/>
  <c r="AQ128" i="2"/>
  <c r="AP128" i="2"/>
  <c r="AO128" i="2"/>
  <c r="AN128" i="2"/>
  <c r="AM128" i="2"/>
  <c r="AL128" i="2"/>
  <c r="AK128" i="2"/>
  <c r="AJ128" i="2"/>
  <c r="AI128" i="2"/>
  <c r="AH128" i="2"/>
  <c r="AG128" i="2"/>
  <c r="AF128" i="2"/>
  <c r="AE128" i="2"/>
  <c r="AD128" i="2"/>
  <c r="AC128" i="2"/>
  <c r="AB128" i="2"/>
  <c r="AA128" i="2"/>
  <c r="Z128" i="2"/>
  <c r="Y128" i="2"/>
  <c r="X128" i="2"/>
  <c r="W128" i="2"/>
  <c r="V128" i="2"/>
  <c r="U128" i="2"/>
  <c r="T128" i="2"/>
  <c r="S128" i="2"/>
  <c r="R128" i="2"/>
  <c r="Q128" i="2"/>
  <c r="P128" i="2"/>
  <c r="O128" i="2"/>
  <c r="N128" i="2"/>
  <c r="M128" i="2"/>
  <c r="L128" i="2"/>
  <c r="K128" i="2"/>
  <c r="J128" i="2"/>
  <c r="I128" i="2"/>
  <c r="H128" i="2"/>
  <c r="G128" i="2"/>
  <c r="F128" i="2"/>
  <c r="E128" i="2"/>
  <c r="D128" i="2"/>
  <c r="C128" i="2"/>
  <c r="AS127" i="2"/>
  <c r="AR127" i="2"/>
  <c r="AQ127" i="2"/>
  <c r="AP127" i="2"/>
  <c r="AO127" i="2"/>
  <c r="AN127" i="2"/>
  <c r="AM127" i="2"/>
  <c r="AL127" i="2"/>
  <c r="AK127" i="2"/>
  <c r="AJ127" i="2"/>
  <c r="AI127" i="2"/>
  <c r="AH127" i="2"/>
  <c r="AG127" i="2"/>
  <c r="AF127" i="2"/>
  <c r="AE127" i="2"/>
  <c r="AD127" i="2"/>
  <c r="AC127" i="2"/>
  <c r="AB127" i="2"/>
  <c r="AA127" i="2"/>
  <c r="Z127" i="2"/>
  <c r="Y127" i="2"/>
  <c r="X127" i="2"/>
  <c r="W127" i="2"/>
  <c r="V127" i="2"/>
  <c r="U127" i="2"/>
  <c r="T127" i="2"/>
  <c r="S127" i="2"/>
  <c r="R127" i="2"/>
  <c r="Q127" i="2"/>
  <c r="P127" i="2"/>
  <c r="O127" i="2"/>
  <c r="N127" i="2"/>
  <c r="M127" i="2"/>
  <c r="L127" i="2"/>
  <c r="K127" i="2"/>
  <c r="J127" i="2"/>
  <c r="I127" i="2"/>
  <c r="H127" i="2"/>
  <c r="G127" i="2"/>
  <c r="F127" i="2"/>
  <c r="E127" i="2"/>
  <c r="D127" i="2"/>
  <c r="C127" i="2"/>
  <c r="AS126" i="2"/>
  <c r="AR126" i="2"/>
  <c r="AQ126" i="2"/>
  <c r="AP126" i="2"/>
  <c r="AO126" i="2"/>
  <c r="AN126" i="2"/>
  <c r="AM126" i="2"/>
  <c r="AL126" i="2"/>
  <c r="AK126" i="2"/>
  <c r="AJ126" i="2"/>
  <c r="AI126" i="2"/>
  <c r="AH126" i="2"/>
  <c r="AH137" i="2" s="1"/>
  <c r="AH30" i="2" s="1"/>
  <c r="AG126" i="2"/>
  <c r="AF126" i="2"/>
  <c r="AE126" i="2"/>
  <c r="AD126" i="2"/>
  <c r="AC126" i="2"/>
  <c r="AB126" i="2"/>
  <c r="AA126" i="2"/>
  <c r="Z126" i="2"/>
  <c r="Y126" i="2"/>
  <c r="X126" i="2"/>
  <c r="W126" i="2"/>
  <c r="V126" i="2"/>
  <c r="U126" i="2"/>
  <c r="T126" i="2"/>
  <c r="T137" i="2" s="1"/>
  <c r="T30" i="2" s="1"/>
  <c r="S126" i="2"/>
  <c r="R126" i="2"/>
  <c r="Q126" i="2"/>
  <c r="P126" i="2"/>
  <c r="O126" i="2"/>
  <c r="N126" i="2"/>
  <c r="M126" i="2"/>
  <c r="L126" i="2"/>
  <c r="K126" i="2"/>
  <c r="J126" i="2"/>
  <c r="I126" i="2"/>
  <c r="H126" i="2"/>
  <c r="G126" i="2"/>
  <c r="F126" i="2"/>
  <c r="E126" i="2"/>
  <c r="D126" i="2"/>
  <c r="C126" i="2"/>
  <c r="AS122" i="2"/>
  <c r="AR122" i="2"/>
  <c r="AQ122" i="2"/>
  <c r="AP122" i="2"/>
  <c r="AO122" i="2"/>
  <c r="AN122" i="2"/>
  <c r="AM122" i="2"/>
  <c r="AL122" i="2"/>
  <c r="AK122" i="2"/>
  <c r="AJ122" i="2"/>
  <c r="AI122" i="2"/>
  <c r="AH122" i="2"/>
  <c r="AG122" i="2"/>
  <c r="AF122" i="2"/>
  <c r="AE122" i="2"/>
  <c r="AD122" i="2"/>
  <c r="AC122" i="2"/>
  <c r="AB122" i="2"/>
  <c r="AA122" i="2"/>
  <c r="Z122" i="2"/>
  <c r="Y122" i="2"/>
  <c r="X122" i="2"/>
  <c r="W122" i="2"/>
  <c r="V122" i="2"/>
  <c r="U122" i="2"/>
  <c r="T122" i="2"/>
  <c r="S122" i="2"/>
  <c r="R122" i="2"/>
  <c r="Q122" i="2"/>
  <c r="P122" i="2"/>
  <c r="O122" i="2"/>
  <c r="N122" i="2"/>
  <c r="M122" i="2"/>
  <c r="L122" i="2"/>
  <c r="K122" i="2"/>
  <c r="J122" i="2"/>
  <c r="I122" i="2"/>
  <c r="H122" i="2"/>
  <c r="G122" i="2"/>
  <c r="F122" i="2"/>
  <c r="E122" i="2"/>
  <c r="D122" i="2"/>
  <c r="C122" i="2"/>
  <c r="AS121" i="2"/>
  <c r="AR121" i="2"/>
  <c r="AQ121" i="2"/>
  <c r="AP121" i="2"/>
  <c r="AO121" i="2"/>
  <c r="AN121" i="2"/>
  <c r="AM121" i="2"/>
  <c r="AL121" i="2"/>
  <c r="AK121" i="2"/>
  <c r="AJ121" i="2"/>
  <c r="AI121" i="2"/>
  <c r="AH121" i="2"/>
  <c r="AG121" i="2"/>
  <c r="AF121" i="2"/>
  <c r="AE121" i="2"/>
  <c r="AD121" i="2"/>
  <c r="AC121" i="2"/>
  <c r="AB121" i="2"/>
  <c r="AA121" i="2"/>
  <c r="Z121" i="2"/>
  <c r="Y121" i="2"/>
  <c r="X121" i="2"/>
  <c r="W121" i="2"/>
  <c r="V121" i="2"/>
  <c r="U121" i="2"/>
  <c r="T121" i="2"/>
  <c r="S121" i="2"/>
  <c r="R121" i="2"/>
  <c r="Q121" i="2"/>
  <c r="P121" i="2"/>
  <c r="O121" i="2"/>
  <c r="N121" i="2"/>
  <c r="M121" i="2"/>
  <c r="L121" i="2"/>
  <c r="K121" i="2"/>
  <c r="J121" i="2"/>
  <c r="I121" i="2"/>
  <c r="H121" i="2"/>
  <c r="G121" i="2"/>
  <c r="F121" i="2"/>
  <c r="E121" i="2"/>
  <c r="D121" i="2"/>
  <c r="C121" i="2"/>
  <c r="AS120" i="2"/>
  <c r="AR120" i="2"/>
  <c r="AQ120" i="2"/>
  <c r="AP120" i="2"/>
  <c r="AO120" i="2"/>
  <c r="AN120" i="2"/>
  <c r="AM120" i="2"/>
  <c r="AL120" i="2"/>
  <c r="AK120" i="2"/>
  <c r="AJ120" i="2"/>
  <c r="AI120" i="2"/>
  <c r="AH120" i="2"/>
  <c r="AG120" i="2"/>
  <c r="AF120" i="2"/>
  <c r="AE120" i="2"/>
  <c r="AD120" i="2"/>
  <c r="AC120" i="2"/>
  <c r="AB120" i="2"/>
  <c r="AA120" i="2"/>
  <c r="Z120" i="2"/>
  <c r="Y120" i="2"/>
  <c r="X120" i="2"/>
  <c r="W120" i="2"/>
  <c r="V120" i="2"/>
  <c r="U120" i="2"/>
  <c r="T120" i="2"/>
  <c r="S120" i="2"/>
  <c r="R120" i="2"/>
  <c r="Q120" i="2"/>
  <c r="P120" i="2"/>
  <c r="O120" i="2"/>
  <c r="N120" i="2"/>
  <c r="M120" i="2"/>
  <c r="L120" i="2"/>
  <c r="K120" i="2"/>
  <c r="J120" i="2"/>
  <c r="I120" i="2"/>
  <c r="H120" i="2"/>
  <c r="G120" i="2"/>
  <c r="F120" i="2"/>
  <c r="E120" i="2"/>
  <c r="D120" i="2"/>
  <c r="C120" i="2"/>
  <c r="AS119" i="2"/>
  <c r="AR119" i="2"/>
  <c r="AQ119" i="2"/>
  <c r="AP119" i="2"/>
  <c r="AO119" i="2"/>
  <c r="AN119" i="2"/>
  <c r="AM119" i="2"/>
  <c r="AL119" i="2"/>
  <c r="AK119" i="2"/>
  <c r="AJ119" i="2"/>
  <c r="AI119" i="2"/>
  <c r="AH119" i="2"/>
  <c r="AG119" i="2"/>
  <c r="AF119" i="2"/>
  <c r="AE119" i="2"/>
  <c r="AD119" i="2"/>
  <c r="AC119" i="2"/>
  <c r="AB119" i="2"/>
  <c r="AA119" i="2"/>
  <c r="Z119" i="2"/>
  <c r="Y119" i="2"/>
  <c r="X119" i="2"/>
  <c r="W119" i="2"/>
  <c r="V119" i="2"/>
  <c r="U119" i="2"/>
  <c r="T119" i="2"/>
  <c r="S119" i="2"/>
  <c r="R119" i="2"/>
  <c r="Q119" i="2"/>
  <c r="P119" i="2"/>
  <c r="O119" i="2"/>
  <c r="N119" i="2"/>
  <c r="M119" i="2"/>
  <c r="L119" i="2"/>
  <c r="K119" i="2"/>
  <c r="J119" i="2"/>
  <c r="I119" i="2"/>
  <c r="H119" i="2"/>
  <c r="G119" i="2"/>
  <c r="F119" i="2"/>
  <c r="E119" i="2"/>
  <c r="D119" i="2"/>
  <c r="C119" i="2"/>
  <c r="AS118" i="2"/>
  <c r="AR118" i="2"/>
  <c r="AQ118" i="2"/>
  <c r="AP118" i="2"/>
  <c r="AO118" i="2"/>
  <c r="AN118" i="2"/>
  <c r="AM118" i="2"/>
  <c r="AL118" i="2"/>
  <c r="AK118" i="2"/>
  <c r="AJ118" i="2"/>
  <c r="AI118" i="2"/>
  <c r="AH118" i="2"/>
  <c r="AG118" i="2"/>
  <c r="AF118" i="2"/>
  <c r="AE118" i="2"/>
  <c r="AD118" i="2"/>
  <c r="AC118" i="2"/>
  <c r="AB118" i="2"/>
  <c r="AA118" i="2"/>
  <c r="Z118" i="2"/>
  <c r="Y118" i="2"/>
  <c r="X118" i="2"/>
  <c r="W118" i="2"/>
  <c r="V118" i="2"/>
  <c r="U118" i="2"/>
  <c r="T118" i="2"/>
  <c r="S118" i="2"/>
  <c r="R118" i="2"/>
  <c r="Q118" i="2"/>
  <c r="P118" i="2"/>
  <c r="O118" i="2"/>
  <c r="N118" i="2"/>
  <c r="M118" i="2"/>
  <c r="L118" i="2"/>
  <c r="K118" i="2"/>
  <c r="J118" i="2"/>
  <c r="I118" i="2"/>
  <c r="H118" i="2"/>
  <c r="G118" i="2"/>
  <c r="F118" i="2"/>
  <c r="E118" i="2"/>
  <c r="D118" i="2"/>
  <c r="C118" i="2"/>
  <c r="AS117" i="2"/>
  <c r="AR117" i="2"/>
  <c r="AQ117" i="2"/>
  <c r="AP117" i="2"/>
  <c r="AO117" i="2"/>
  <c r="AN117" i="2"/>
  <c r="AM117" i="2"/>
  <c r="AL117" i="2"/>
  <c r="AK117" i="2"/>
  <c r="AJ117" i="2"/>
  <c r="AI117" i="2"/>
  <c r="AH117" i="2"/>
  <c r="AG117" i="2"/>
  <c r="AF117" i="2"/>
  <c r="AE117" i="2"/>
  <c r="AD117" i="2"/>
  <c r="AC117" i="2"/>
  <c r="AB117" i="2"/>
  <c r="AA117" i="2"/>
  <c r="Z117" i="2"/>
  <c r="Y117" i="2"/>
  <c r="X117" i="2"/>
  <c r="W117" i="2"/>
  <c r="V117" i="2"/>
  <c r="U117" i="2"/>
  <c r="T117" i="2"/>
  <c r="S117" i="2"/>
  <c r="R117" i="2"/>
  <c r="Q117" i="2"/>
  <c r="P117" i="2"/>
  <c r="O117" i="2"/>
  <c r="N117" i="2"/>
  <c r="M117" i="2"/>
  <c r="L117" i="2"/>
  <c r="K117" i="2"/>
  <c r="J117" i="2"/>
  <c r="I117" i="2"/>
  <c r="H117" i="2"/>
  <c r="G117" i="2"/>
  <c r="F117" i="2"/>
  <c r="E117" i="2"/>
  <c r="D117" i="2"/>
  <c r="C117" i="2"/>
  <c r="AS116" i="2"/>
  <c r="AR116" i="2"/>
  <c r="AQ116" i="2"/>
  <c r="AP116" i="2"/>
  <c r="AO116" i="2"/>
  <c r="AN116" i="2"/>
  <c r="AM116" i="2"/>
  <c r="AL116" i="2"/>
  <c r="AK116" i="2"/>
  <c r="AJ116" i="2"/>
  <c r="AI116" i="2"/>
  <c r="AH116" i="2"/>
  <c r="AG116" i="2"/>
  <c r="AF116" i="2"/>
  <c r="AE116" i="2"/>
  <c r="AD116" i="2"/>
  <c r="AC116" i="2"/>
  <c r="AB116" i="2"/>
  <c r="AA116" i="2"/>
  <c r="Z116" i="2"/>
  <c r="Y116" i="2"/>
  <c r="X116" i="2"/>
  <c r="W116" i="2"/>
  <c r="V116" i="2"/>
  <c r="U116" i="2"/>
  <c r="T116" i="2"/>
  <c r="S116" i="2"/>
  <c r="R116" i="2"/>
  <c r="Q116" i="2"/>
  <c r="P116" i="2"/>
  <c r="O116" i="2"/>
  <c r="N116" i="2"/>
  <c r="M116" i="2"/>
  <c r="L116" i="2"/>
  <c r="K116" i="2"/>
  <c r="J116" i="2"/>
  <c r="I116" i="2"/>
  <c r="H116" i="2"/>
  <c r="G116" i="2"/>
  <c r="F116" i="2"/>
  <c r="E116" i="2"/>
  <c r="D116" i="2"/>
  <c r="C116" i="2"/>
  <c r="AS115" i="2"/>
  <c r="AR115" i="2"/>
  <c r="AQ115" i="2"/>
  <c r="AP115" i="2"/>
  <c r="AO115" i="2"/>
  <c r="AN115" i="2"/>
  <c r="AM115" i="2"/>
  <c r="AL115" i="2"/>
  <c r="AK115" i="2"/>
  <c r="AJ115" i="2"/>
  <c r="AI115" i="2"/>
  <c r="AH115" i="2"/>
  <c r="AG115" i="2"/>
  <c r="AF115" i="2"/>
  <c r="AE115" i="2"/>
  <c r="AD115" i="2"/>
  <c r="AC115" i="2"/>
  <c r="AB115" i="2"/>
  <c r="AA115" i="2"/>
  <c r="Z115" i="2"/>
  <c r="Y115" i="2"/>
  <c r="X115" i="2"/>
  <c r="W115" i="2"/>
  <c r="V115" i="2"/>
  <c r="U115" i="2"/>
  <c r="T115" i="2"/>
  <c r="S115" i="2"/>
  <c r="R115" i="2"/>
  <c r="Q115" i="2"/>
  <c r="P115" i="2"/>
  <c r="O115" i="2"/>
  <c r="N115" i="2"/>
  <c r="M115" i="2"/>
  <c r="L115" i="2"/>
  <c r="K115" i="2"/>
  <c r="J115" i="2"/>
  <c r="I115" i="2"/>
  <c r="H115" i="2"/>
  <c r="G115" i="2"/>
  <c r="F115" i="2"/>
  <c r="E115" i="2"/>
  <c r="D115" i="2"/>
  <c r="C115" i="2"/>
  <c r="AS114" i="2"/>
  <c r="AR114" i="2"/>
  <c r="AQ114" i="2"/>
  <c r="AP114" i="2"/>
  <c r="AO114" i="2"/>
  <c r="AN114" i="2"/>
  <c r="AM114" i="2"/>
  <c r="AL114" i="2"/>
  <c r="AK114" i="2"/>
  <c r="AJ114" i="2"/>
  <c r="AI114" i="2"/>
  <c r="AH114" i="2"/>
  <c r="AG114" i="2"/>
  <c r="AF114" i="2"/>
  <c r="AE114" i="2"/>
  <c r="AD114" i="2"/>
  <c r="AC114" i="2"/>
  <c r="AB114" i="2"/>
  <c r="AA114" i="2"/>
  <c r="Z114" i="2"/>
  <c r="Y114" i="2"/>
  <c r="X114" i="2"/>
  <c r="W114" i="2"/>
  <c r="V114" i="2"/>
  <c r="U114" i="2"/>
  <c r="T114" i="2"/>
  <c r="S114" i="2"/>
  <c r="R114" i="2"/>
  <c r="Q114" i="2"/>
  <c r="P114" i="2"/>
  <c r="O114" i="2"/>
  <c r="N114" i="2"/>
  <c r="M114" i="2"/>
  <c r="L114" i="2"/>
  <c r="K114" i="2"/>
  <c r="J114" i="2"/>
  <c r="I114" i="2"/>
  <c r="H114" i="2"/>
  <c r="G114" i="2"/>
  <c r="F114" i="2"/>
  <c r="E114" i="2"/>
  <c r="D114" i="2"/>
  <c r="C114" i="2"/>
  <c r="AS113" i="2"/>
  <c r="AR113" i="2"/>
  <c r="AQ113" i="2"/>
  <c r="AP113" i="2"/>
  <c r="AO113" i="2"/>
  <c r="AN113" i="2"/>
  <c r="AM113" i="2"/>
  <c r="AL113" i="2"/>
  <c r="AK113" i="2"/>
  <c r="AJ113" i="2"/>
  <c r="AI113" i="2"/>
  <c r="AH113" i="2"/>
  <c r="AG113" i="2"/>
  <c r="AF113" i="2"/>
  <c r="AE113" i="2"/>
  <c r="AD113" i="2"/>
  <c r="AC113" i="2"/>
  <c r="AB113" i="2"/>
  <c r="AA113" i="2"/>
  <c r="Z113" i="2"/>
  <c r="Y113" i="2"/>
  <c r="X113" i="2"/>
  <c r="W113" i="2"/>
  <c r="V113" i="2"/>
  <c r="U113" i="2"/>
  <c r="T113" i="2"/>
  <c r="S113" i="2"/>
  <c r="R113" i="2"/>
  <c r="Q113" i="2"/>
  <c r="P113" i="2"/>
  <c r="O113" i="2"/>
  <c r="N113" i="2"/>
  <c r="M113" i="2"/>
  <c r="L113" i="2"/>
  <c r="K113" i="2"/>
  <c r="J113" i="2"/>
  <c r="I113" i="2"/>
  <c r="H113" i="2"/>
  <c r="G113" i="2"/>
  <c r="F113" i="2"/>
  <c r="E113" i="2"/>
  <c r="D113" i="2"/>
  <c r="C113" i="2"/>
  <c r="AS112" i="2"/>
  <c r="AR112" i="2"/>
  <c r="AQ112" i="2"/>
  <c r="AP112" i="2"/>
  <c r="AO112" i="2"/>
  <c r="AN112" i="2"/>
  <c r="AM112" i="2"/>
  <c r="AL112" i="2"/>
  <c r="AK112" i="2"/>
  <c r="AJ112" i="2"/>
  <c r="AI112" i="2"/>
  <c r="AH112" i="2"/>
  <c r="AG112" i="2"/>
  <c r="AF112" i="2"/>
  <c r="AE112" i="2"/>
  <c r="AE123" i="2" s="1"/>
  <c r="AE27" i="2" s="1"/>
  <c r="AD112" i="2"/>
  <c r="AC112" i="2"/>
  <c r="AB112" i="2"/>
  <c r="AA112" i="2"/>
  <c r="Z112" i="2"/>
  <c r="Y112" i="2"/>
  <c r="X112" i="2"/>
  <c r="W112" i="2"/>
  <c r="V112" i="2"/>
  <c r="U112" i="2"/>
  <c r="T112" i="2"/>
  <c r="S112" i="2"/>
  <c r="R112" i="2"/>
  <c r="Q112" i="2"/>
  <c r="P112" i="2"/>
  <c r="O112" i="2"/>
  <c r="N112" i="2"/>
  <c r="M112" i="2"/>
  <c r="L112" i="2"/>
  <c r="K112" i="2"/>
  <c r="J112" i="2"/>
  <c r="I112" i="2"/>
  <c r="H112" i="2"/>
  <c r="G112" i="2"/>
  <c r="F112" i="2"/>
  <c r="E112" i="2"/>
  <c r="D112" i="2"/>
  <c r="C112" i="2"/>
  <c r="AS108" i="2"/>
  <c r="AR108" i="2"/>
  <c r="AQ108" i="2"/>
  <c r="AP108" i="2"/>
  <c r="AO108" i="2"/>
  <c r="AN108" i="2"/>
  <c r="AM108" i="2"/>
  <c r="AL108" i="2"/>
  <c r="AK108" i="2"/>
  <c r="AJ108" i="2"/>
  <c r="AI108" i="2"/>
  <c r="AH108" i="2"/>
  <c r="AG108" i="2"/>
  <c r="AF108" i="2"/>
  <c r="AE108" i="2"/>
  <c r="AD108" i="2"/>
  <c r="AC108" i="2"/>
  <c r="AB108" i="2"/>
  <c r="AA108" i="2"/>
  <c r="Z108" i="2"/>
  <c r="Y108" i="2"/>
  <c r="X108" i="2"/>
  <c r="W108" i="2"/>
  <c r="V108" i="2"/>
  <c r="U108" i="2"/>
  <c r="T108" i="2"/>
  <c r="S108" i="2"/>
  <c r="R108" i="2"/>
  <c r="Q108" i="2"/>
  <c r="P108" i="2"/>
  <c r="O108" i="2"/>
  <c r="N108" i="2"/>
  <c r="M108" i="2"/>
  <c r="L108" i="2"/>
  <c r="K108" i="2"/>
  <c r="J108" i="2"/>
  <c r="I108" i="2"/>
  <c r="H108" i="2"/>
  <c r="G108" i="2"/>
  <c r="F108" i="2"/>
  <c r="E108" i="2"/>
  <c r="D108" i="2"/>
  <c r="C108" i="2"/>
  <c r="AS107" i="2"/>
  <c r="AR107" i="2"/>
  <c r="AQ107" i="2"/>
  <c r="AP107" i="2"/>
  <c r="AO107" i="2"/>
  <c r="AN107" i="2"/>
  <c r="AM107" i="2"/>
  <c r="AL107" i="2"/>
  <c r="AK107" i="2"/>
  <c r="AJ107" i="2"/>
  <c r="AI107" i="2"/>
  <c r="AH107" i="2"/>
  <c r="AG107" i="2"/>
  <c r="AF107" i="2"/>
  <c r="AE107" i="2"/>
  <c r="AD107" i="2"/>
  <c r="AC107" i="2"/>
  <c r="AB107" i="2"/>
  <c r="AA107" i="2"/>
  <c r="Z107" i="2"/>
  <c r="Y107" i="2"/>
  <c r="X107" i="2"/>
  <c r="W107" i="2"/>
  <c r="V107" i="2"/>
  <c r="U107" i="2"/>
  <c r="T107" i="2"/>
  <c r="S107" i="2"/>
  <c r="R107" i="2"/>
  <c r="Q107" i="2"/>
  <c r="P107" i="2"/>
  <c r="O107" i="2"/>
  <c r="N107" i="2"/>
  <c r="M107" i="2"/>
  <c r="L107" i="2"/>
  <c r="K107" i="2"/>
  <c r="J107" i="2"/>
  <c r="I107" i="2"/>
  <c r="H107" i="2"/>
  <c r="G107" i="2"/>
  <c r="F107" i="2"/>
  <c r="E107" i="2"/>
  <c r="D107" i="2"/>
  <c r="C107" i="2"/>
  <c r="AS106" i="2"/>
  <c r="AR106" i="2"/>
  <c r="AQ106" i="2"/>
  <c r="AP106" i="2"/>
  <c r="AO106" i="2"/>
  <c r="AN106" i="2"/>
  <c r="AM106" i="2"/>
  <c r="AL106" i="2"/>
  <c r="AK106" i="2"/>
  <c r="AJ106" i="2"/>
  <c r="AI106" i="2"/>
  <c r="AH106" i="2"/>
  <c r="AG106" i="2"/>
  <c r="AF106" i="2"/>
  <c r="AE106" i="2"/>
  <c r="AD106" i="2"/>
  <c r="AC106" i="2"/>
  <c r="AB106" i="2"/>
  <c r="AA106" i="2"/>
  <c r="Z106" i="2"/>
  <c r="Y106" i="2"/>
  <c r="X106" i="2"/>
  <c r="W106" i="2"/>
  <c r="V106" i="2"/>
  <c r="U106" i="2"/>
  <c r="T106" i="2"/>
  <c r="S106" i="2"/>
  <c r="R106" i="2"/>
  <c r="Q106" i="2"/>
  <c r="P106" i="2"/>
  <c r="O106" i="2"/>
  <c r="N106" i="2"/>
  <c r="M106" i="2"/>
  <c r="L106" i="2"/>
  <c r="K106" i="2"/>
  <c r="J106" i="2"/>
  <c r="I106" i="2"/>
  <c r="H106" i="2"/>
  <c r="G106" i="2"/>
  <c r="F106" i="2"/>
  <c r="E106" i="2"/>
  <c r="D106" i="2"/>
  <c r="C106" i="2"/>
  <c r="AS105" i="2"/>
  <c r="AR105" i="2"/>
  <c r="AQ105" i="2"/>
  <c r="AP105" i="2"/>
  <c r="AO105" i="2"/>
  <c r="AN105" i="2"/>
  <c r="AM105" i="2"/>
  <c r="AL105" i="2"/>
  <c r="AK105" i="2"/>
  <c r="AJ105" i="2"/>
  <c r="AI105" i="2"/>
  <c r="AH105" i="2"/>
  <c r="AG105" i="2"/>
  <c r="AF105" i="2"/>
  <c r="AE105" i="2"/>
  <c r="AD105" i="2"/>
  <c r="AC105" i="2"/>
  <c r="AB105" i="2"/>
  <c r="AA105" i="2"/>
  <c r="Z105" i="2"/>
  <c r="Y105" i="2"/>
  <c r="X105" i="2"/>
  <c r="W105" i="2"/>
  <c r="V105" i="2"/>
  <c r="U105" i="2"/>
  <c r="T105" i="2"/>
  <c r="S105" i="2"/>
  <c r="R105" i="2"/>
  <c r="Q105" i="2"/>
  <c r="P105" i="2"/>
  <c r="O105" i="2"/>
  <c r="N105" i="2"/>
  <c r="M105" i="2"/>
  <c r="L105" i="2"/>
  <c r="K105" i="2"/>
  <c r="J105" i="2"/>
  <c r="I105" i="2"/>
  <c r="H105" i="2"/>
  <c r="G105" i="2"/>
  <c r="F105" i="2"/>
  <c r="E105" i="2"/>
  <c r="D105" i="2"/>
  <c r="C105" i="2"/>
  <c r="AS104" i="2"/>
  <c r="AR104" i="2"/>
  <c r="AQ104" i="2"/>
  <c r="AP104" i="2"/>
  <c r="AO104" i="2"/>
  <c r="AN104" i="2"/>
  <c r="AM104" i="2"/>
  <c r="AL104" i="2"/>
  <c r="AK104" i="2"/>
  <c r="AJ104" i="2"/>
  <c r="AI104" i="2"/>
  <c r="AH104" i="2"/>
  <c r="AG104" i="2"/>
  <c r="AF104" i="2"/>
  <c r="AE104" i="2"/>
  <c r="AD104" i="2"/>
  <c r="AC104" i="2"/>
  <c r="AB104" i="2"/>
  <c r="AA104" i="2"/>
  <c r="Z104" i="2"/>
  <c r="Y104" i="2"/>
  <c r="X104" i="2"/>
  <c r="W104" i="2"/>
  <c r="V104" i="2"/>
  <c r="U104" i="2"/>
  <c r="T104" i="2"/>
  <c r="S104" i="2"/>
  <c r="R104" i="2"/>
  <c r="Q104" i="2"/>
  <c r="P104" i="2"/>
  <c r="O104" i="2"/>
  <c r="N104" i="2"/>
  <c r="M104" i="2"/>
  <c r="L104" i="2"/>
  <c r="K104" i="2"/>
  <c r="J104" i="2"/>
  <c r="I104" i="2"/>
  <c r="H104" i="2"/>
  <c r="G104" i="2"/>
  <c r="F104" i="2"/>
  <c r="E104" i="2"/>
  <c r="D104" i="2"/>
  <c r="C104" i="2"/>
  <c r="AS103" i="2"/>
  <c r="AR103" i="2"/>
  <c r="AQ103" i="2"/>
  <c r="AP103" i="2"/>
  <c r="AO103" i="2"/>
  <c r="AN103" i="2"/>
  <c r="AM103" i="2"/>
  <c r="AL103" i="2"/>
  <c r="AK103" i="2"/>
  <c r="AJ103" i="2"/>
  <c r="AI103" i="2"/>
  <c r="AH103" i="2"/>
  <c r="AG103" i="2"/>
  <c r="AF103" i="2"/>
  <c r="AE103" i="2"/>
  <c r="AD103" i="2"/>
  <c r="AC103" i="2"/>
  <c r="AB103" i="2"/>
  <c r="AA103" i="2"/>
  <c r="Z103" i="2"/>
  <c r="Y103" i="2"/>
  <c r="X103" i="2"/>
  <c r="W103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E103" i="2"/>
  <c r="D103" i="2"/>
  <c r="C103" i="2"/>
  <c r="AS102" i="2"/>
  <c r="AR102" i="2"/>
  <c r="AQ102" i="2"/>
  <c r="AP102" i="2"/>
  <c r="AO102" i="2"/>
  <c r="AN102" i="2"/>
  <c r="AM102" i="2"/>
  <c r="AL102" i="2"/>
  <c r="AK102" i="2"/>
  <c r="AJ102" i="2"/>
  <c r="AI102" i="2"/>
  <c r="AH102" i="2"/>
  <c r="AG102" i="2"/>
  <c r="AF102" i="2"/>
  <c r="AE102" i="2"/>
  <c r="AD102" i="2"/>
  <c r="AC102" i="2"/>
  <c r="AB102" i="2"/>
  <c r="AA102" i="2"/>
  <c r="Z102" i="2"/>
  <c r="Y102" i="2"/>
  <c r="X102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E102" i="2"/>
  <c r="D102" i="2"/>
  <c r="C102" i="2"/>
  <c r="AS101" i="2"/>
  <c r="AR101" i="2"/>
  <c r="AQ101" i="2"/>
  <c r="AP101" i="2"/>
  <c r="AO101" i="2"/>
  <c r="AN101" i="2"/>
  <c r="AM101" i="2"/>
  <c r="AL101" i="2"/>
  <c r="AK101" i="2"/>
  <c r="AJ101" i="2"/>
  <c r="AI101" i="2"/>
  <c r="AH101" i="2"/>
  <c r="AG101" i="2"/>
  <c r="AF101" i="2"/>
  <c r="AE101" i="2"/>
  <c r="AD101" i="2"/>
  <c r="AC101" i="2"/>
  <c r="AB101" i="2"/>
  <c r="AA101" i="2"/>
  <c r="Z101" i="2"/>
  <c r="Y101" i="2"/>
  <c r="X101" i="2"/>
  <c r="W101" i="2"/>
  <c r="V101" i="2"/>
  <c r="U101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F101" i="2"/>
  <c r="E101" i="2"/>
  <c r="D101" i="2"/>
  <c r="C101" i="2"/>
  <c r="AS100" i="2"/>
  <c r="AR100" i="2"/>
  <c r="AQ100" i="2"/>
  <c r="AP100" i="2"/>
  <c r="AO100" i="2"/>
  <c r="AN100" i="2"/>
  <c r="AM100" i="2"/>
  <c r="AL100" i="2"/>
  <c r="AK100" i="2"/>
  <c r="AJ100" i="2"/>
  <c r="AI100" i="2"/>
  <c r="AH100" i="2"/>
  <c r="AG100" i="2"/>
  <c r="AF100" i="2"/>
  <c r="AE100" i="2"/>
  <c r="AD100" i="2"/>
  <c r="AC100" i="2"/>
  <c r="AB100" i="2"/>
  <c r="AA100" i="2"/>
  <c r="Z100" i="2"/>
  <c r="Y100" i="2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E100" i="2"/>
  <c r="D100" i="2"/>
  <c r="C100" i="2"/>
  <c r="AS99" i="2"/>
  <c r="AR99" i="2"/>
  <c r="AQ99" i="2"/>
  <c r="AP99" i="2"/>
  <c r="AO99" i="2"/>
  <c r="AN99" i="2"/>
  <c r="AM99" i="2"/>
  <c r="AL99" i="2"/>
  <c r="AK99" i="2"/>
  <c r="AJ99" i="2"/>
  <c r="AI99" i="2"/>
  <c r="AH99" i="2"/>
  <c r="AG99" i="2"/>
  <c r="AF99" i="2"/>
  <c r="AE99" i="2"/>
  <c r="AD99" i="2"/>
  <c r="AC99" i="2"/>
  <c r="AB99" i="2"/>
  <c r="AA99" i="2"/>
  <c r="Z99" i="2"/>
  <c r="Y99" i="2"/>
  <c r="X99" i="2"/>
  <c r="W99" i="2"/>
  <c r="V99" i="2"/>
  <c r="U99" i="2"/>
  <c r="T99" i="2"/>
  <c r="S99" i="2"/>
  <c r="R99" i="2"/>
  <c r="Q99" i="2"/>
  <c r="P99" i="2"/>
  <c r="O99" i="2"/>
  <c r="N99" i="2"/>
  <c r="M99" i="2"/>
  <c r="L99" i="2"/>
  <c r="K99" i="2"/>
  <c r="J99" i="2"/>
  <c r="I99" i="2"/>
  <c r="H99" i="2"/>
  <c r="G99" i="2"/>
  <c r="F99" i="2"/>
  <c r="E99" i="2"/>
  <c r="D99" i="2"/>
  <c r="C99" i="2"/>
  <c r="AS98" i="2"/>
  <c r="AR98" i="2"/>
  <c r="AQ98" i="2"/>
  <c r="AP98" i="2"/>
  <c r="AP109" i="2" s="1"/>
  <c r="AP18" i="2" s="1"/>
  <c r="AO98" i="2"/>
  <c r="AN98" i="2"/>
  <c r="AM98" i="2"/>
  <c r="AL98" i="2"/>
  <c r="AK98" i="2"/>
  <c r="AJ98" i="2"/>
  <c r="AI98" i="2"/>
  <c r="AH98" i="2"/>
  <c r="AG98" i="2"/>
  <c r="AF98" i="2"/>
  <c r="AE98" i="2"/>
  <c r="AD98" i="2"/>
  <c r="AC98" i="2"/>
  <c r="AB98" i="2"/>
  <c r="AA98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G98" i="2"/>
  <c r="F98" i="2"/>
  <c r="E98" i="2"/>
  <c r="D98" i="2"/>
  <c r="C98" i="2"/>
  <c r="AR57" i="2"/>
  <c r="AO57" i="2"/>
  <c r="O57" i="2"/>
  <c r="AH54" i="2"/>
  <c r="N51" i="2"/>
  <c r="N77" i="2" s="1"/>
  <c r="U39" i="2"/>
  <c r="AI36" i="2"/>
  <c r="AO33" i="2"/>
  <c r="AN19" i="2"/>
  <c r="AS16" i="2"/>
  <c r="AR16" i="2"/>
  <c r="AQ16" i="2"/>
  <c r="AQ19" i="2" s="1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AP69" i="2" l="1"/>
  <c r="AP66" i="2"/>
  <c r="AG275" i="2"/>
  <c r="L207" i="2"/>
  <c r="L57" i="2" s="1"/>
  <c r="Y207" i="2"/>
  <c r="Y57" i="2" s="1"/>
  <c r="AL207" i="2"/>
  <c r="AL57" i="2" s="1"/>
  <c r="O221" i="2"/>
  <c r="O60" i="2" s="1"/>
  <c r="AC221" i="2"/>
  <c r="AC60" i="2" s="1"/>
  <c r="M221" i="2"/>
  <c r="M60" i="2" s="1"/>
  <c r="C275" i="2"/>
  <c r="K193" i="2"/>
  <c r="X193" i="2"/>
  <c r="AK193" i="2"/>
  <c r="AD221" i="2"/>
  <c r="AD60" i="2" s="1"/>
  <c r="AA54" i="2"/>
  <c r="AA48" i="2"/>
  <c r="AN193" i="2"/>
  <c r="J193" i="2"/>
  <c r="E33" i="2"/>
  <c r="E39" i="2"/>
  <c r="Q39" i="2"/>
  <c r="Q33" i="2"/>
  <c r="Y45" i="2"/>
  <c r="Y51" i="2"/>
  <c r="Y77" i="2" s="1"/>
  <c r="AM51" i="2"/>
  <c r="AM77" i="2" s="1"/>
  <c r="AM45" i="2"/>
  <c r="I179" i="2"/>
  <c r="V179" i="2"/>
  <c r="E221" i="2"/>
  <c r="E60" i="2" s="1"/>
  <c r="F33" i="2"/>
  <c r="F39" i="2"/>
  <c r="U165" i="2"/>
  <c r="AH165" i="2"/>
  <c r="AA275" i="2"/>
  <c r="E42" i="2"/>
  <c r="AP63" i="2"/>
  <c r="D137" i="2"/>
  <c r="D30" i="2" s="1"/>
  <c r="R36" i="2"/>
  <c r="R37" i="2" s="1"/>
  <c r="R42" i="2"/>
  <c r="R43" i="2" s="1"/>
  <c r="AD151" i="2"/>
  <c r="Z109" i="2"/>
  <c r="Z18" i="2" s="1"/>
  <c r="O123" i="2"/>
  <c r="O27" i="2" s="1"/>
  <c r="O28" i="2" s="1"/>
  <c r="R137" i="2"/>
  <c r="R30" i="2" s="1"/>
  <c r="AG151" i="2"/>
  <c r="N33" i="2"/>
  <c r="AO109" i="2"/>
  <c r="AO18" i="2" s="1"/>
  <c r="AO40" i="2" s="1"/>
  <c r="AG137" i="2"/>
  <c r="AG30" i="2" s="1"/>
  <c r="O109" i="2"/>
  <c r="O18" i="2" s="1"/>
  <c r="N109" i="2"/>
  <c r="N18" i="2" s="1"/>
  <c r="F137" i="2"/>
  <c r="F30" i="2" s="1"/>
  <c r="AL179" i="2"/>
  <c r="D221" i="2"/>
  <c r="D60" i="2" s="1"/>
  <c r="S249" i="2"/>
  <c r="S72" i="2" s="1"/>
  <c r="AS249" i="2"/>
  <c r="AS72" i="2" s="1"/>
  <c r="S275" i="2"/>
  <c r="Q109" i="2"/>
  <c r="Q18" i="2" s="1"/>
  <c r="Q58" i="2" s="1"/>
  <c r="AD109" i="2"/>
  <c r="AD18" i="2" s="1"/>
  <c r="AC109" i="2"/>
  <c r="AC18" i="2" s="1"/>
  <c r="I137" i="2"/>
  <c r="I30" i="2" s="1"/>
  <c r="E137" i="2"/>
  <c r="E30" i="2" s="1"/>
  <c r="X151" i="2"/>
  <c r="O179" i="2"/>
  <c r="AO179" i="2"/>
  <c r="F221" i="2"/>
  <c r="F60" i="2" s="1"/>
  <c r="R235" i="2"/>
  <c r="AI249" i="2"/>
  <c r="AI72" i="2" s="1"/>
  <c r="AE249" i="2"/>
  <c r="AE72" i="2" s="1"/>
  <c r="J275" i="2"/>
  <c r="I275" i="2"/>
  <c r="V275" i="2"/>
  <c r="AI275" i="2"/>
  <c r="K165" i="2"/>
  <c r="AC193" i="2"/>
  <c r="D207" i="2"/>
  <c r="D57" i="2" s="1"/>
  <c r="AD207" i="2"/>
  <c r="AD57" i="2" s="1"/>
  <c r="G221" i="2"/>
  <c r="G60" i="2" s="1"/>
  <c r="AG109" i="2"/>
  <c r="AG18" i="2" s="1"/>
  <c r="Y137" i="2"/>
  <c r="Y30" i="2" s="1"/>
  <c r="Y31" i="2" s="1"/>
  <c r="U137" i="2"/>
  <c r="U30" i="2" s="1"/>
  <c r="AN151" i="2"/>
  <c r="AE179" i="2"/>
  <c r="V221" i="2"/>
  <c r="V60" i="2" s="1"/>
  <c r="AH235" i="2"/>
  <c r="Z275" i="2"/>
  <c r="Y275" i="2"/>
  <c r="AL275" i="2"/>
  <c r="AH109" i="2"/>
  <c r="AH18" i="2" s="1"/>
  <c r="W123" i="2"/>
  <c r="W27" i="2" s="1"/>
  <c r="L137" i="2"/>
  <c r="L30" i="2" s="1"/>
  <c r="M151" i="2"/>
  <c r="Y151" i="2"/>
  <c r="AL151" i="2"/>
  <c r="I151" i="2"/>
  <c r="V151" i="2"/>
  <c r="AQ165" i="2"/>
  <c r="M165" i="2"/>
  <c r="Z165" i="2"/>
  <c r="S193" i="2"/>
  <c r="AF193" i="2"/>
  <c r="AS193" i="2"/>
  <c r="G207" i="2"/>
  <c r="G57" i="2" s="1"/>
  <c r="T207" i="2"/>
  <c r="T57" i="2" s="1"/>
  <c r="AG207" i="2"/>
  <c r="AG57" i="2" s="1"/>
  <c r="I221" i="2"/>
  <c r="I60" i="2" s="1"/>
  <c r="AH221" i="2"/>
  <c r="AH60" i="2" s="1"/>
  <c r="M275" i="2"/>
  <c r="AJ137" i="2"/>
  <c r="AJ30" i="2" s="1"/>
  <c r="AA165" i="2"/>
  <c r="J165" i="2"/>
  <c r="P193" i="2"/>
  <c r="AP193" i="2"/>
  <c r="U221" i="2"/>
  <c r="U60" i="2" s="1"/>
  <c r="AO137" i="2"/>
  <c r="AO30" i="2" s="1"/>
  <c r="AK137" i="2"/>
  <c r="AK30" i="2" s="1"/>
  <c r="Q179" i="2"/>
  <c r="AD179" i="2"/>
  <c r="AL221" i="2"/>
  <c r="AL60" i="2" s="1"/>
  <c r="K249" i="2"/>
  <c r="K72" i="2" s="1"/>
  <c r="AP275" i="2"/>
  <c r="AO275" i="2"/>
  <c r="K275" i="2"/>
  <c r="AM123" i="2"/>
  <c r="AM27" i="2" s="1"/>
  <c r="AB137" i="2"/>
  <c r="AB30" i="2" s="1"/>
  <c r="AC151" i="2"/>
  <c r="C165" i="2"/>
  <c r="AC165" i="2"/>
  <c r="AP165" i="2"/>
  <c r="AI193" i="2"/>
  <c r="E193" i="2"/>
  <c r="R193" i="2"/>
  <c r="W207" i="2"/>
  <c r="W57" i="2" s="1"/>
  <c r="AJ207" i="2"/>
  <c r="AJ57" i="2" s="1"/>
  <c r="F207" i="2"/>
  <c r="F57" i="2" s="1"/>
  <c r="AM221" i="2"/>
  <c r="AM60" i="2" s="1"/>
  <c r="AC275" i="2"/>
  <c r="I109" i="2"/>
  <c r="I18" i="2" s="1"/>
  <c r="V109" i="2"/>
  <c r="V18" i="2" s="1"/>
  <c r="P151" i="2"/>
  <c r="G179" i="2"/>
  <c r="AG179" i="2"/>
  <c r="L221" i="2"/>
  <c r="L60" i="2" s="1"/>
  <c r="J235" i="2"/>
  <c r="AA249" i="2"/>
  <c r="AA72" i="2" s="1"/>
  <c r="J249" i="2"/>
  <c r="J72" i="2" s="1"/>
  <c r="W249" i="2"/>
  <c r="W72" i="2" s="1"/>
  <c r="N275" i="2"/>
  <c r="AK151" i="2"/>
  <c r="AK165" i="2"/>
  <c r="AQ193" i="2"/>
  <c r="M193" i="2"/>
  <c r="Z193" i="2"/>
  <c r="AE207" i="2"/>
  <c r="AE57" i="2" s="1"/>
  <c r="N207" i="2"/>
  <c r="N57" i="2" s="1"/>
  <c r="AK275" i="2"/>
  <c r="R109" i="2"/>
  <c r="R18" i="2" s="1"/>
  <c r="G123" i="2"/>
  <c r="G27" i="2" s="1"/>
  <c r="C193" i="2"/>
  <c r="J109" i="2"/>
  <c r="J18" i="2" s="1"/>
  <c r="AH123" i="2"/>
  <c r="AH27" i="2" s="1"/>
  <c r="AR137" i="2"/>
  <c r="AR30" i="2" s="1"/>
  <c r="AP137" i="2"/>
  <c r="AP30" i="2" s="1"/>
  <c r="AS151" i="2"/>
  <c r="S165" i="2"/>
  <c r="AS165" i="2"/>
  <c r="H193" i="2"/>
  <c r="U193" i="2"/>
  <c r="AM207" i="2"/>
  <c r="AM57" i="2" s="1"/>
  <c r="I207" i="2"/>
  <c r="I57" i="2" s="1"/>
  <c r="I58" i="2" s="1"/>
  <c r="V207" i="2"/>
  <c r="V57" i="2" s="1"/>
  <c r="AN221" i="2"/>
  <c r="AN60" i="2" s="1"/>
  <c r="W221" i="2"/>
  <c r="W60" i="2" s="1"/>
  <c r="AS275" i="2"/>
  <c r="Y109" i="2"/>
  <c r="Y18" i="2" s="1"/>
  <c r="Y52" i="2" s="1"/>
  <c r="AM109" i="2"/>
  <c r="AM18" i="2" s="1"/>
  <c r="AM78" i="2" s="1"/>
  <c r="AL109" i="2"/>
  <c r="AL18" i="2" s="1"/>
  <c r="AL58" i="2" s="1"/>
  <c r="H109" i="2"/>
  <c r="H18" i="2" s="1"/>
  <c r="Q137" i="2"/>
  <c r="Q30" i="2" s="1"/>
  <c r="AF151" i="2"/>
  <c r="W179" i="2"/>
  <c r="F179" i="2"/>
  <c r="N221" i="2"/>
  <c r="N60" i="2" s="1"/>
  <c r="Z235" i="2"/>
  <c r="AQ249" i="2"/>
  <c r="AQ72" i="2" s="1"/>
  <c r="R275" i="2"/>
  <c r="Q275" i="2"/>
  <c r="AD275" i="2"/>
  <c r="AQ275" i="2"/>
  <c r="O61" i="2"/>
  <c r="O58" i="2"/>
  <c r="AM46" i="2"/>
  <c r="AM58" i="2"/>
  <c r="AM52" i="2"/>
  <c r="AO34" i="2"/>
  <c r="AO31" i="2"/>
  <c r="AO58" i="2"/>
  <c r="Y78" i="2"/>
  <c r="Y46" i="2"/>
  <c r="AG58" i="2"/>
  <c r="AG31" i="2"/>
  <c r="N40" i="2"/>
  <c r="J61" i="2"/>
  <c r="J73" i="2"/>
  <c r="AH61" i="2"/>
  <c r="AH28" i="2"/>
  <c r="AP67" i="2"/>
  <c r="AP70" i="2"/>
  <c r="AP64" i="2"/>
  <c r="AH49" i="2"/>
  <c r="AP31" i="2"/>
  <c r="I288" i="2"/>
  <c r="I287" i="2"/>
  <c r="I286" i="2"/>
  <c r="Q290" i="2"/>
  <c r="Q280" i="2"/>
  <c r="Q282" i="2"/>
  <c r="Y290" i="2"/>
  <c r="Y280" i="2"/>
  <c r="Y282" i="2"/>
  <c r="Y289" i="2"/>
  <c r="Y279" i="2"/>
  <c r="Y281" i="2"/>
  <c r="Y288" i="2"/>
  <c r="Y278" i="2"/>
  <c r="Y287" i="2"/>
  <c r="Y286" i="2"/>
  <c r="AG290" i="2"/>
  <c r="AG280" i="2"/>
  <c r="AG282" i="2"/>
  <c r="AG289" i="2"/>
  <c r="AG291" i="2" s="1"/>
  <c r="AG279" i="2"/>
  <c r="AG281" i="2"/>
  <c r="AG283" i="2" s="1"/>
  <c r="AG288" i="2"/>
  <c r="AG278" i="2"/>
  <c r="AG287" i="2"/>
  <c r="AG286" i="2"/>
  <c r="AO290" i="2"/>
  <c r="AO280" i="2"/>
  <c r="AO282" i="2"/>
  <c r="AO289" i="2"/>
  <c r="AO279" i="2"/>
  <c r="AO281" i="2"/>
  <c r="AO283" i="2" s="1"/>
  <c r="AO288" i="2"/>
  <c r="AO278" i="2"/>
  <c r="AO287" i="2"/>
  <c r="AO286" i="2"/>
  <c r="N281" i="2"/>
  <c r="N290" i="2"/>
  <c r="N280" i="2"/>
  <c r="N282" i="2"/>
  <c r="N289" i="2"/>
  <c r="N279" i="2"/>
  <c r="N288" i="2"/>
  <c r="N287" i="2"/>
  <c r="N286" i="2"/>
  <c r="N278" i="2"/>
  <c r="V281" i="2"/>
  <c r="V290" i="2"/>
  <c r="V280" i="2"/>
  <c r="V282" i="2"/>
  <c r="V289" i="2"/>
  <c r="V279" i="2"/>
  <c r="V288" i="2"/>
  <c r="V287" i="2"/>
  <c r="V286" i="2"/>
  <c r="V278" i="2"/>
  <c r="AD281" i="2"/>
  <c r="AD290" i="2"/>
  <c r="AD280" i="2"/>
  <c r="AD282" i="2"/>
  <c r="AD289" i="2"/>
  <c r="AD279" i="2"/>
  <c r="AD288" i="2"/>
  <c r="AD287" i="2"/>
  <c r="AD286" i="2"/>
  <c r="AD278" i="2"/>
  <c r="AL281" i="2"/>
  <c r="AL290" i="2"/>
  <c r="AL280" i="2"/>
  <c r="AL282" i="2"/>
  <c r="AL289" i="2"/>
  <c r="AL291" i="2" s="1"/>
  <c r="AL279" i="2"/>
  <c r="AL288" i="2"/>
  <c r="AL287" i="2"/>
  <c r="AL286" i="2"/>
  <c r="AL278" i="2"/>
  <c r="H287" i="2"/>
  <c r="H282" i="2"/>
  <c r="H286" i="2"/>
  <c r="H281" i="2"/>
  <c r="H290" i="2"/>
  <c r="H289" i="2"/>
  <c r="H288" i="2"/>
  <c r="H280" i="2"/>
  <c r="H279" i="2"/>
  <c r="H278" i="2"/>
  <c r="R31" i="2"/>
  <c r="J287" i="2"/>
  <c r="J289" i="2"/>
  <c r="J279" i="2"/>
  <c r="J286" i="2"/>
  <c r="J288" i="2"/>
  <c r="J278" i="2"/>
  <c r="J290" i="2"/>
  <c r="J282" i="2"/>
  <c r="J281" i="2"/>
  <c r="J280" i="2"/>
  <c r="AH287" i="2"/>
  <c r="AH289" i="2"/>
  <c r="AH279" i="2"/>
  <c r="AH286" i="2"/>
  <c r="AH288" i="2"/>
  <c r="AH278" i="2"/>
  <c r="AH290" i="2"/>
  <c r="AH282" i="2"/>
  <c r="AH281" i="2"/>
  <c r="AH280" i="2"/>
  <c r="AC61" i="2"/>
  <c r="N78" i="2"/>
  <c r="N61" i="2"/>
  <c r="N58" i="2"/>
  <c r="N52" i="2"/>
  <c r="N46" i="2"/>
  <c r="N34" i="2"/>
  <c r="V61" i="2"/>
  <c r="V58" i="2"/>
  <c r="AD61" i="2"/>
  <c r="AD58" i="2"/>
  <c r="AL61" i="2"/>
  <c r="AH31" i="2"/>
  <c r="R287" i="2"/>
  <c r="R289" i="2"/>
  <c r="R279" i="2"/>
  <c r="R286" i="2"/>
  <c r="R288" i="2"/>
  <c r="R278" i="2"/>
  <c r="R290" i="2"/>
  <c r="R282" i="2"/>
  <c r="R281" i="2"/>
  <c r="R283" i="2" s="1"/>
  <c r="R280" i="2"/>
  <c r="Z289" i="2"/>
  <c r="Z288" i="2"/>
  <c r="Z290" i="2"/>
  <c r="Z281" i="2"/>
  <c r="Z282" i="2"/>
  <c r="AP287" i="2"/>
  <c r="AP289" i="2"/>
  <c r="AP279" i="2"/>
  <c r="AP286" i="2"/>
  <c r="AP288" i="2"/>
  <c r="AP278" i="2"/>
  <c r="AP290" i="2"/>
  <c r="AP282" i="2"/>
  <c r="AP281" i="2"/>
  <c r="AP280" i="2"/>
  <c r="P109" i="2"/>
  <c r="AN109" i="2"/>
  <c r="E109" i="2"/>
  <c r="AC286" i="2"/>
  <c r="AC288" i="2"/>
  <c r="AC278" i="2"/>
  <c r="AC287" i="2"/>
  <c r="AC282" i="2"/>
  <c r="AC290" i="2"/>
  <c r="AC289" i="2"/>
  <c r="AC281" i="2"/>
  <c r="AC280" i="2"/>
  <c r="AC279" i="2"/>
  <c r="O288" i="2"/>
  <c r="O278" i="2"/>
  <c r="O290" i="2"/>
  <c r="O280" i="2"/>
  <c r="O287" i="2"/>
  <c r="O289" i="2"/>
  <c r="O291" i="2" s="1"/>
  <c r="O279" i="2"/>
  <c r="O286" i="2"/>
  <c r="O282" i="2"/>
  <c r="O281" i="2"/>
  <c r="AM288" i="2"/>
  <c r="AM278" i="2"/>
  <c r="AM290" i="2"/>
  <c r="AM280" i="2"/>
  <c r="AM287" i="2"/>
  <c r="AM289" i="2"/>
  <c r="AM279" i="2"/>
  <c r="AM286" i="2"/>
  <c r="AM282" i="2"/>
  <c r="AM281" i="2"/>
  <c r="L123" i="2"/>
  <c r="L27" i="2" s="1"/>
  <c r="AO123" i="2"/>
  <c r="AO27" i="2" s="1"/>
  <c r="AO28" i="2" s="1"/>
  <c r="AD123" i="2"/>
  <c r="AD27" i="2" s="1"/>
  <c r="AD28" i="2" s="1"/>
  <c r="C123" i="2"/>
  <c r="C27" i="2" s="1"/>
  <c r="K123" i="2"/>
  <c r="K27" i="2" s="1"/>
  <c r="U123" i="2"/>
  <c r="U27" i="2" s="1"/>
  <c r="AC123" i="2"/>
  <c r="AC27" i="2" s="1"/>
  <c r="AC28" i="2" s="1"/>
  <c r="F109" i="2"/>
  <c r="N137" i="2"/>
  <c r="N30" i="2" s="1"/>
  <c r="N31" i="2" s="1"/>
  <c r="V137" i="2"/>
  <c r="V30" i="2" s="1"/>
  <c r="V31" i="2" s="1"/>
  <c r="AD137" i="2"/>
  <c r="AD30" i="2" s="1"/>
  <c r="AD31" i="2" s="1"/>
  <c r="AL137" i="2"/>
  <c r="AL30" i="2" s="1"/>
  <c r="AL31" i="2" s="1"/>
  <c r="M137" i="2"/>
  <c r="M30" i="2" s="1"/>
  <c r="AC137" i="2"/>
  <c r="AC30" i="2" s="1"/>
  <c r="AC31" i="2" s="1"/>
  <c r="AS137" i="2"/>
  <c r="AS30" i="2" s="1"/>
  <c r="G109" i="2"/>
  <c r="W109" i="2"/>
  <c r="AE109" i="2"/>
  <c r="I123" i="2"/>
  <c r="I27" i="2" s="1"/>
  <c r="I28" i="2" s="1"/>
  <c r="Q123" i="2"/>
  <c r="Q27" i="2" s="1"/>
  <c r="Q28" i="2" s="1"/>
  <c r="X109" i="2"/>
  <c r="AF109" i="2"/>
  <c r="M109" i="2"/>
  <c r="U109" i="2"/>
  <c r="AK109" i="2"/>
  <c r="AS109" i="2"/>
  <c r="S123" i="2"/>
  <c r="S27" i="2" s="1"/>
  <c r="D123" i="2"/>
  <c r="D27" i="2" s="1"/>
  <c r="T123" i="2"/>
  <c r="T27" i="2" s="1"/>
  <c r="AB123" i="2"/>
  <c r="AB27" i="2" s="1"/>
  <c r="AJ123" i="2"/>
  <c r="AJ27" i="2" s="1"/>
  <c r="AR123" i="2"/>
  <c r="AR27" i="2" s="1"/>
  <c r="Y123" i="2"/>
  <c r="Y27" i="2" s="1"/>
  <c r="Y28" i="2" s="1"/>
  <c r="AG123" i="2"/>
  <c r="AG27" i="2" s="1"/>
  <c r="AG28" i="2" s="1"/>
  <c r="F123" i="2"/>
  <c r="F27" i="2" s="1"/>
  <c r="V123" i="2"/>
  <c r="V27" i="2" s="1"/>
  <c r="V28" i="2" s="1"/>
  <c r="AL123" i="2"/>
  <c r="AL27" i="2" s="1"/>
  <c r="AL28" i="2" s="1"/>
  <c r="J123" i="2"/>
  <c r="J27" i="2" s="1"/>
  <c r="J28" i="2" s="1"/>
  <c r="C109" i="2"/>
  <c r="K109" i="2"/>
  <c r="S109" i="2"/>
  <c r="AA109" i="2"/>
  <c r="AI109" i="2"/>
  <c r="AQ109" i="2"/>
  <c r="AK123" i="2"/>
  <c r="AK27" i="2" s="1"/>
  <c r="D109" i="2"/>
  <c r="L109" i="2"/>
  <c r="T109" i="2"/>
  <c r="AB109" i="2"/>
  <c r="AJ109" i="2"/>
  <c r="AR109" i="2"/>
  <c r="R123" i="2"/>
  <c r="R27" i="2" s="1"/>
  <c r="R28" i="2" s="1"/>
  <c r="Z123" i="2"/>
  <c r="Z27" i="2" s="1"/>
  <c r="Z28" i="2" s="1"/>
  <c r="AP123" i="2"/>
  <c r="AP27" i="2" s="1"/>
  <c r="AP28" i="2" s="1"/>
  <c r="AA123" i="2"/>
  <c r="AA27" i="2" s="1"/>
  <c r="AI123" i="2"/>
  <c r="AI27" i="2" s="1"/>
  <c r="AQ123" i="2"/>
  <c r="AQ27" i="2" s="1"/>
  <c r="H137" i="2"/>
  <c r="H30" i="2" s="1"/>
  <c r="H31" i="2" s="1"/>
  <c r="P137" i="2"/>
  <c r="P30" i="2" s="1"/>
  <c r="X137" i="2"/>
  <c r="X30" i="2" s="1"/>
  <c r="AF137" i="2"/>
  <c r="AF30" i="2" s="1"/>
  <c r="AN137" i="2"/>
  <c r="AN30" i="2" s="1"/>
  <c r="Z137" i="2"/>
  <c r="Z30" i="2" s="1"/>
  <c r="L235" i="2"/>
  <c r="T235" i="2"/>
  <c r="I235" i="2"/>
  <c r="AL235" i="2"/>
  <c r="E123" i="2"/>
  <c r="E27" i="2" s="1"/>
  <c r="M123" i="2"/>
  <c r="M27" i="2" s="1"/>
  <c r="AS123" i="2"/>
  <c r="AS27" i="2" s="1"/>
  <c r="J137" i="2"/>
  <c r="J30" i="2" s="1"/>
  <c r="J31" i="2" s="1"/>
  <c r="N123" i="2"/>
  <c r="N27" i="2" s="1"/>
  <c r="N28" i="2" s="1"/>
  <c r="D193" i="2"/>
  <c r="L193" i="2"/>
  <c r="T193" i="2"/>
  <c r="AB193" i="2"/>
  <c r="AJ193" i="2"/>
  <c r="AR193" i="2"/>
  <c r="H207" i="2"/>
  <c r="H57" i="2" s="1"/>
  <c r="H58" i="2" s="1"/>
  <c r="P207" i="2"/>
  <c r="P57" i="2" s="1"/>
  <c r="X207" i="2"/>
  <c r="X57" i="2" s="1"/>
  <c r="AF207" i="2"/>
  <c r="AF57" i="2" s="1"/>
  <c r="AN207" i="2"/>
  <c r="AN57" i="2" s="1"/>
  <c r="C235" i="2"/>
  <c r="K235" i="2"/>
  <c r="S235" i="2"/>
  <c r="AA235" i="2"/>
  <c r="AI235" i="2"/>
  <c r="AQ235" i="2"/>
  <c r="G151" i="2"/>
  <c r="O151" i="2"/>
  <c r="W151" i="2"/>
  <c r="AE151" i="2"/>
  <c r="AM151" i="2"/>
  <c r="D165" i="2"/>
  <c r="L165" i="2"/>
  <c r="T165" i="2"/>
  <c r="AB165" i="2"/>
  <c r="AJ165" i="2"/>
  <c r="AR165" i="2"/>
  <c r="H179" i="2"/>
  <c r="P179" i="2"/>
  <c r="X179" i="2"/>
  <c r="AF179" i="2"/>
  <c r="AN179" i="2"/>
  <c r="D235" i="2"/>
  <c r="AB235" i="2"/>
  <c r="AJ235" i="2"/>
  <c r="AR235" i="2"/>
  <c r="Q235" i="2"/>
  <c r="Y235" i="2"/>
  <c r="AG235" i="2"/>
  <c r="AO235" i="2"/>
  <c r="F235" i="2"/>
  <c r="N235" i="2"/>
  <c r="V235" i="2"/>
  <c r="AD235" i="2"/>
  <c r="G137" i="2"/>
  <c r="G30" i="2" s="1"/>
  <c r="O137" i="2"/>
  <c r="O30" i="2" s="1"/>
  <c r="O31" i="2" s="1"/>
  <c r="W137" i="2"/>
  <c r="W30" i="2" s="1"/>
  <c r="AE137" i="2"/>
  <c r="AE30" i="2" s="1"/>
  <c r="AM137" i="2"/>
  <c r="AM30" i="2" s="1"/>
  <c r="AM31" i="2" s="1"/>
  <c r="H151" i="2"/>
  <c r="F193" i="2"/>
  <c r="N193" i="2"/>
  <c r="V193" i="2"/>
  <c r="AD193" i="2"/>
  <c r="AL193" i="2"/>
  <c r="J207" i="2"/>
  <c r="J57" i="2" s="1"/>
  <c r="J58" i="2" s="1"/>
  <c r="R207" i="2"/>
  <c r="R57" i="2" s="1"/>
  <c r="R58" i="2" s="1"/>
  <c r="Z207" i="2"/>
  <c r="Z57" i="2" s="1"/>
  <c r="AH207" i="2"/>
  <c r="AH57" i="2" s="1"/>
  <c r="AH58" i="2" s="1"/>
  <c r="AP207" i="2"/>
  <c r="AP57" i="2" s="1"/>
  <c r="AP58" i="2" s="1"/>
  <c r="F249" i="2"/>
  <c r="F72" i="2" s="1"/>
  <c r="N249" i="2"/>
  <c r="N72" i="2" s="1"/>
  <c r="N73" i="2" s="1"/>
  <c r="V249" i="2"/>
  <c r="V72" i="2" s="1"/>
  <c r="V73" i="2" s="1"/>
  <c r="AD249" i="2"/>
  <c r="AD72" i="2" s="1"/>
  <c r="AD73" i="2" s="1"/>
  <c r="AL249" i="2"/>
  <c r="AL72" i="2" s="1"/>
  <c r="AL73" i="2" s="1"/>
  <c r="F165" i="2"/>
  <c r="N165" i="2"/>
  <c r="V165" i="2"/>
  <c r="AD165" i="2"/>
  <c r="AL165" i="2"/>
  <c r="J179" i="2"/>
  <c r="R179" i="2"/>
  <c r="Z179" i="2"/>
  <c r="AH179" i="2"/>
  <c r="AP179" i="2"/>
  <c r="G193" i="2"/>
  <c r="O193" i="2"/>
  <c r="W193" i="2"/>
  <c r="AE193" i="2"/>
  <c r="AM193" i="2"/>
  <c r="C207" i="2"/>
  <c r="C57" i="2" s="1"/>
  <c r="K207" i="2"/>
  <c r="K57" i="2" s="1"/>
  <c r="S207" i="2"/>
  <c r="S57" i="2" s="1"/>
  <c r="AA207" i="2"/>
  <c r="AA57" i="2" s="1"/>
  <c r="AI207" i="2"/>
  <c r="AI57" i="2" s="1"/>
  <c r="AQ207" i="2"/>
  <c r="AQ57" i="2" s="1"/>
  <c r="X221" i="2"/>
  <c r="X60" i="2" s="1"/>
  <c r="AF221" i="2"/>
  <c r="AF60" i="2" s="1"/>
  <c r="AK221" i="2"/>
  <c r="AK60" i="2" s="1"/>
  <c r="Z221" i="2"/>
  <c r="Z60" i="2" s="1"/>
  <c r="Z61" i="2" s="1"/>
  <c r="G249" i="2"/>
  <c r="G72" i="2" s="1"/>
  <c r="O249" i="2"/>
  <c r="O72" i="2" s="1"/>
  <c r="O73" i="2" s="1"/>
  <c r="AM249" i="2"/>
  <c r="AM72" i="2" s="1"/>
  <c r="AM73" i="2" s="1"/>
  <c r="J151" i="2"/>
  <c r="R151" i="2"/>
  <c r="Z151" i="2"/>
  <c r="AH151" i="2"/>
  <c r="AP151" i="2"/>
  <c r="G165" i="2"/>
  <c r="O165" i="2"/>
  <c r="W165" i="2"/>
  <c r="AE165" i="2"/>
  <c r="AM165" i="2"/>
  <c r="C179" i="2"/>
  <c r="K179" i="2"/>
  <c r="S179" i="2"/>
  <c r="AA179" i="2"/>
  <c r="AI179" i="2"/>
  <c r="AQ179" i="2"/>
  <c r="G235" i="2"/>
  <c r="O235" i="2"/>
  <c r="W235" i="2"/>
  <c r="AE235" i="2"/>
  <c r="AM235" i="2"/>
  <c r="E249" i="2"/>
  <c r="E72" i="2" s="1"/>
  <c r="M249" i="2"/>
  <c r="M72" i="2" s="1"/>
  <c r="U249" i="2"/>
  <c r="U72" i="2" s="1"/>
  <c r="AC249" i="2"/>
  <c r="AC72" i="2" s="1"/>
  <c r="AC73" i="2" s="1"/>
  <c r="AK249" i="2"/>
  <c r="AK72" i="2" s="1"/>
  <c r="R249" i="2"/>
  <c r="R72" i="2" s="1"/>
  <c r="R73" i="2" s="1"/>
  <c r="Z249" i="2"/>
  <c r="Z72" i="2" s="1"/>
  <c r="Z73" i="2" s="1"/>
  <c r="AH249" i="2"/>
  <c r="AH72" i="2" s="1"/>
  <c r="AH73" i="2" s="1"/>
  <c r="AP249" i="2"/>
  <c r="AP72" i="2" s="1"/>
  <c r="AP73" i="2" s="1"/>
  <c r="H123" i="2"/>
  <c r="H27" i="2" s="1"/>
  <c r="H28" i="2" s="1"/>
  <c r="P123" i="2"/>
  <c r="P27" i="2" s="1"/>
  <c r="X123" i="2"/>
  <c r="X27" i="2" s="1"/>
  <c r="AF123" i="2"/>
  <c r="AF27" i="2" s="1"/>
  <c r="AN123" i="2"/>
  <c r="AN27" i="2" s="1"/>
  <c r="C151" i="2"/>
  <c r="K151" i="2"/>
  <c r="S151" i="2"/>
  <c r="AA151" i="2"/>
  <c r="AI151" i="2"/>
  <c r="AQ151" i="2"/>
  <c r="H165" i="2"/>
  <c r="P165" i="2"/>
  <c r="X165" i="2"/>
  <c r="AF165" i="2"/>
  <c r="AN165" i="2"/>
  <c r="D179" i="2"/>
  <c r="L179" i="2"/>
  <c r="T179" i="2"/>
  <c r="AB179" i="2"/>
  <c r="AJ179" i="2"/>
  <c r="AR179" i="2"/>
  <c r="I193" i="2"/>
  <c r="Q193" i="2"/>
  <c r="Y193" i="2"/>
  <c r="AG193" i="2"/>
  <c r="AO193" i="2"/>
  <c r="E207" i="2"/>
  <c r="E57" i="2" s="1"/>
  <c r="M207" i="2"/>
  <c r="M57" i="2" s="1"/>
  <c r="U207" i="2"/>
  <c r="U57" i="2" s="1"/>
  <c r="AC207" i="2"/>
  <c r="AC57" i="2" s="1"/>
  <c r="AC58" i="2" s="1"/>
  <c r="AK207" i="2"/>
  <c r="AK57" i="2" s="1"/>
  <c r="AS207" i="2"/>
  <c r="AS57" i="2" s="1"/>
  <c r="R221" i="2"/>
  <c r="R60" i="2" s="1"/>
  <c r="R61" i="2" s="1"/>
  <c r="AP221" i="2"/>
  <c r="AP60" i="2" s="1"/>
  <c r="AP61" i="2" s="1"/>
  <c r="C137" i="2"/>
  <c r="C30" i="2" s="1"/>
  <c r="K137" i="2"/>
  <c r="K30" i="2" s="1"/>
  <c r="S137" i="2"/>
  <c r="S30" i="2" s="1"/>
  <c r="AA137" i="2"/>
  <c r="AA30" i="2" s="1"/>
  <c r="AI137" i="2"/>
  <c r="AI30" i="2" s="1"/>
  <c r="AQ137" i="2"/>
  <c r="AQ30" i="2" s="1"/>
  <c r="D151" i="2"/>
  <c r="L151" i="2"/>
  <c r="T151" i="2"/>
  <c r="AB151" i="2"/>
  <c r="AJ151" i="2"/>
  <c r="AR151" i="2"/>
  <c r="I165" i="2"/>
  <c r="Q165" i="2"/>
  <c r="Y165" i="2"/>
  <c r="AG165" i="2"/>
  <c r="AO165" i="2"/>
  <c r="E179" i="2"/>
  <c r="M179" i="2"/>
  <c r="U179" i="2"/>
  <c r="AC179" i="2"/>
  <c r="AK179" i="2"/>
  <c r="AS179" i="2"/>
  <c r="C221" i="2"/>
  <c r="C60" i="2" s="1"/>
  <c r="K221" i="2"/>
  <c r="K60" i="2" s="1"/>
  <c r="AA221" i="2"/>
  <c r="AA60" i="2" s="1"/>
  <c r="AI221" i="2"/>
  <c r="AI60" i="2" s="1"/>
  <c r="AQ221" i="2"/>
  <c r="AQ60" i="2" s="1"/>
  <c r="H221" i="2"/>
  <c r="H60" i="2" s="1"/>
  <c r="H61" i="2" s="1"/>
  <c r="P221" i="2"/>
  <c r="P60" i="2" s="1"/>
  <c r="H249" i="2"/>
  <c r="H72" i="2" s="1"/>
  <c r="H73" i="2" s="1"/>
  <c r="P249" i="2"/>
  <c r="P72" i="2" s="1"/>
  <c r="X249" i="2"/>
  <c r="X72" i="2" s="1"/>
  <c r="AF249" i="2"/>
  <c r="AF72" i="2" s="1"/>
  <c r="AN249" i="2"/>
  <c r="AN72" i="2" s="1"/>
  <c r="G275" i="2"/>
  <c r="O275" i="2"/>
  <c r="W275" i="2"/>
  <c r="AE275" i="2"/>
  <c r="AM275" i="2"/>
  <c r="Q221" i="2"/>
  <c r="Q60" i="2" s="1"/>
  <c r="Q61" i="2" s="1"/>
  <c r="Y221" i="2"/>
  <c r="Y60" i="2" s="1"/>
  <c r="Y61" i="2" s="1"/>
  <c r="AG221" i="2"/>
  <c r="AG60" i="2" s="1"/>
  <c r="AG61" i="2" s="1"/>
  <c r="AO221" i="2"/>
  <c r="AO60" i="2" s="1"/>
  <c r="AO61" i="2" s="1"/>
  <c r="E235" i="2"/>
  <c r="M235" i="2"/>
  <c r="U235" i="2"/>
  <c r="AC235" i="2"/>
  <c r="AK235" i="2"/>
  <c r="AS235" i="2"/>
  <c r="I249" i="2"/>
  <c r="I72" i="2" s="1"/>
  <c r="I73" i="2" s="1"/>
  <c r="Q249" i="2"/>
  <c r="Q72" i="2" s="1"/>
  <c r="Q73" i="2" s="1"/>
  <c r="Y249" i="2"/>
  <c r="Y72" i="2" s="1"/>
  <c r="Y73" i="2" s="1"/>
  <c r="AG249" i="2"/>
  <c r="AG72" i="2" s="1"/>
  <c r="AG73" i="2" s="1"/>
  <c r="AO249" i="2"/>
  <c r="AO72" i="2" s="1"/>
  <c r="AO73" i="2" s="1"/>
  <c r="H275" i="2"/>
  <c r="P275" i="2"/>
  <c r="X275" i="2"/>
  <c r="AF275" i="2"/>
  <c r="AN275" i="2"/>
  <c r="T221" i="2"/>
  <c r="T60" i="2" s="1"/>
  <c r="AB221" i="2"/>
  <c r="AB60" i="2" s="1"/>
  <c r="AJ221" i="2"/>
  <c r="AJ60" i="2" s="1"/>
  <c r="AR221" i="2"/>
  <c r="AR60" i="2" s="1"/>
  <c r="H235" i="2"/>
  <c r="P235" i="2"/>
  <c r="X235" i="2"/>
  <c r="AF235" i="2"/>
  <c r="AN235" i="2"/>
  <c r="D249" i="2"/>
  <c r="D72" i="2" s="1"/>
  <c r="L249" i="2"/>
  <c r="L72" i="2" s="1"/>
  <c r="T249" i="2"/>
  <c r="T72" i="2" s="1"/>
  <c r="AB249" i="2"/>
  <c r="AB72" i="2" s="1"/>
  <c r="AJ249" i="2"/>
  <c r="AJ72" i="2" s="1"/>
  <c r="AR249" i="2"/>
  <c r="AR72" i="2" s="1"/>
  <c r="D275" i="2"/>
  <c r="L275" i="2"/>
  <c r="T275" i="2"/>
  <c r="AB275" i="2"/>
  <c r="AJ275" i="2"/>
  <c r="AR275" i="2"/>
  <c r="Z63" i="2" l="1"/>
  <c r="Z64" i="2" s="1"/>
  <c r="Z69" i="2"/>
  <c r="Z66" i="2"/>
  <c r="AG51" i="2"/>
  <c r="AG45" i="2"/>
  <c r="AG46" i="2" s="1"/>
  <c r="AC42" i="2"/>
  <c r="AC43" i="2" s="1"/>
  <c r="AC36" i="2"/>
  <c r="AC37" i="2" s="1"/>
  <c r="S48" i="2"/>
  <c r="S54" i="2"/>
  <c r="V45" i="2"/>
  <c r="V46" i="2" s="1"/>
  <c r="V51" i="2"/>
  <c r="G45" i="2"/>
  <c r="G51" i="2"/>
  <c r="G77" i="2" s="1"/>
  <c r="C36" i="2"/>
  <c r="C42" i="2"/>
  <c r="AP48" i="2"/>
  <c r="AP49" i="2" s="1"/>
  <c r="AP54" i="2"/>
  <c r="AP55" i="2" s="1"/>
  <c r="Z36" i="2"/>
  <c r="Z42" i="2"/>
  <c r="Z43" i="2" s="1"/>
  <c r="AH69" i="2"/>
  <c r="AH80" i="2" s="1"/>
  <c r="AH81" i="2" s="1"/>
  <c r="AH66" i="2"/>
  <c r="AH67" i="2" s="1"/>
  <c r="AH63" i="2"/>
  <c r="AH64" i="2" s="1"/>
  <c r="I45" i="2"/>
  <c r="I51" i="2"/>
  <c r="AK48" i="2"/>
  <c r="AK54" i="2"/>
  <c r="F51" i="2"/>
  <c r="F77" i="2" s="1"/>
  <c r="F45" i="2"/>
  <c r="U54" i="2"/>
  <c r="U48" i="2"/>
  <c r="P39" i="2"/>
  <c r="P33" i="2"/>
  <c r="AC33" i="2"/>
  <c r="AC34" i="2" s="1"/>
  <c r="AC39" i="2"/>
  <c r="AC40" i="2" s="1"/>
  <c r="P48" i="2"/>
  <c r="P54" i="2"/>
  <c r="M42" i="2"/>
  <c r="M36" i="2"/>
  <c r="AD33" i="2"/>
  <c r="AD34" i="2" s="1"/>
  <c r="AD39" i="2"/>
  <c r="AD40" i="2" s="1"/>
  <c r="X54" i="2"/>
  <c r="X48" i="2"/>
  <c r="Z280" i="2"/>
  <c r="H283" i="2"/>
  <c r="Z70" i="2"/>
  <c r="W45" i="2"/>
  <c r="W51" i="2"/>
  <c r="W77" i="2" s="1"/>
  <c r="H48" i="2"/>
  <c r="H49" i="2" s="1"/>
  <c r="H54" i="2"/>
  <c r="H55" i="2" s="1"/>
  <c r="Z54" i="2"/>
  <c r="Z55" i="2" s="1"/>
  <c r="Z48" i="2"/>
  <c r="Z49" i="2" s="1"/>
  <c r="J36" i="2"/>
  <c r="J37" i="2" s="1"/>
  <c r="J42" i="2"/>
  <c r="AQ36" i="2"/>
  <c r="AQ42" i="2"/>
  <c r="AE51" i="2"/>
  <c r="AE77" i="2" s="1"/>
  <c r="AE45" i="2"/>
  <c r="K48" i="2"/>
  <c r="K54" i="2"/>
  <c r="Z67" i="2"/>
  <c r="AF33" i="2"/>
  <c r="AF39" i="2"/>
  <c r="AS36" i="2"/>
  <c r="AS42" i="2"/>
  <c r="M48" i="2"/>
  <c r="M54" i="2"/>
  <c r="AA36" i="2"/>
  <c r="AA42" i="2"/>
  <c r="V33" i="2"/>
  <c r="V34" i="2" s="1"/>
  <c r="V39" i="2"/>
  <c r="V40" i="2" s="1"/>
  <c r="AN39" i="2"/>
  <c r="AN33" i="2"/>
  <c r="I278" i="2"/>
  <c r="I34" i="2"/>
  <c r="S36" i="2"/>
  <c r="S42" i="2"/>
  <c r="AQ48" i="2"/>
  <c r="AQ54" i="2"/>
  <c r="I39" i="2"/>
  <c r="I40" i="2" s="1"/>
  <c r="I33" i="2"/>
  <c r="R63" i="2"/>
  <c r="R64" i="2" s="1"/>
  <c r="R69" i="2"/>
  <c r="R70" i="2" s="1"/>
  <c r="R66" i="2"/>
  <c r="R67" i="2" s="1"/>
  <c r="AL51" i="2"/>
  <c r="AL45" i="2"/>
  <c r="AL46" i="2" s="1"/>
  <c r="AG19" i="2"/>
  <c r="Z58" i="2"/>
  <c r="Z278" i="2"/>
  <c r="R291" i="2"/>
  <c r="R19" i="2" s="1"/>
  <c r="I31" i="2"/>
  <c r="AS39" i="2"/>
  <c r="AS33" i="2"/>
  <c r="AK42" i="2"/>
  <c r="AK36" i="2"/>
  <c r="AL39" i="2"/>
  <c r="AL40" i="2" s="1"/>
  <c r="AL33" i="2"/>
  <c r="AL34" i="2" s="1"/>
  <c r="Q286" i="2"/>
  <c r="I281" i="2"/>
  <c r="I46" i="2"/>
  <c r="Q31" i="2"/>
  <c r="AK33" i="2"/>
  <c r="AK39" i="2"/>
  <c r="Y33" i="2"/>
  <c r="Y34" i="2" s="1"/>
  <c r="Y39" i="2"/>
  <c r="Y40" i="2" s="1"/>
  <c r="AO51" i="2"/>
  <c r="AO45" i="2"/>
  <c r="AO46" i="2" s="1"/>
  <c r="AP283" i="2"/>
  <c r="Z31" i="2"/>
  <c r="Z286" i="2"/>
  <c r="V283" i="2"/>
  <c r="Q287" i="2"/>
  <c r="I279" i="2"/>
  <c r="Q40" i="2"/>
  <c r="I61" i="2"/>
  <c r="M39" i="2"/>
  <c r="M33" i="2"/>
  <c r="O45" i="2"/>
  <c r="O46" i="2" s="1"/>
  <c r="O51" i="2"/>
  <c r="AC283" i="2"/>
  <c r="Z279" i="2"/>
  <c r="Z283" i="2" s="1"/>
  <c r="AH291" i="2"/>
  <c r="Q278" i="2"/>
  <c r="I289" i="2"/>
  <c r="Q34" i="2"/>
  <c r="Q46" i="2"/>
  <c r="X33" i="2"/>
  <c r="X39" i="2"/>
  <c r="AH42" i="2"/>
  <c r="AH43" i="2" s="1"/>
  <c r="AH36" i="2"/>
  <c r="AH37" i="2" s="1"/>
  <c r="Q288" i="2"/>
  <c r="I282" i="2"/>
  <c r="R48" i="2"/>
  <c r="R54" i="2"/>
  <c r="R55" i="2" s="1"/>
  <c r="AD45" i="2"/>
  <c r="AD46" i="2" s="1"/>
  <c r="AD51" i="2"/>
  <c r="U36" i="2"/>
  <c r="U42" i="2"/>
  <c r="J48" i="2"/>
  <c r="J49" i="2" s="1"/>
  <c r="J54" i="2"/>
  <c r="J55" i="2" s="1"/>
  <c r="AC291" i="2"/>
  <c r="Z287" i="2"/>
  <c r="Z291" i="2" s="1"/>
  <c r="AO291" i="2"/>
  <c r="AO19" i="2" s="1"/>
  <c r="Q281" i="2"/>
  <c r="Q283" i="2" s="1"/>
  <c r="I280" i="2"/>
  <c r="AM28" i="2"/>
  <c r="C48" i="2"/>
  <c r="C54" i="2"/>
  <c r="E48" i="2"/>
  <c r="E54" i="2"/>
  <c r="Q45" i="2"/>
  <c r="Q51" i="2"/>
  <c r="Q77" i="2" s="1"/>
  <c r="Q78" i="2" s="1"/>
  <c r="AH55" i="2"/>
  <c r="AC54" i="2"/>
  <c r="AC55" i="2" s="1"/>
  <c r="AC48" i="2"/>
  <c r="AC49" i="2" s="1"/>
  <c r="AN54" i="2"/>
  <c r="AN48" i="2"/>
  <c r="Q279" i="2"/>
  <c r="I290" i="2"/>
  <c r="J43" i="2"/>
  <c r="Y58" i="2"/>
  <c r="AM61" i="2"/>
  <c r="J63" i="2"/>
  <c r="J64" i="2" s="1"/>
  <c r="J69" i="2"/>
  <c r="J70" i="2" s="1"/>
  <c r="J66" i="2"/>
  <c r="J67" i="2" s="1"/>
  <c r="AI48" i="2"/>
  <c r="AI54" i="2"/>
  <c r="AS48" i="2"/>
  <c r="AS54" i="2"/>
  <c r="K36" i="2"/>
  <c r="K42" i="2"/>
  <c r="AG33" i="2"/>
  <c r="AG34" i="2" s="1"/>
  <c r="AG39" i="2"/>
  <c r="AG40" i="2" s="1"/>
  <c r="Q289" i="2"/>
  <c r="Z37" i="2"/>
  <c r="R49" i="2"/>
  <c r="AP36" i="2"/>
  <c r="AP37" i="2" s="1"/>
  <c r="AP42" i="2"/>
  <c r="AP43" i="2" s="1"/>
  <c r="AF48" i="2"/>
  <c r="AF54" i="2"/>
  <c r="AC66" i="2"/>
  <c r="AC67" i="2" s="1"/>
  <c r="AC69" i="2"/>
  <c r="AC70" i="2" s="1"/>
  <c r="AC63" i="2"/>
  <c r="AC64" i="2" s="1"/>
  <c r="AQ33" i="2"/>
  <c r="AQ39" i="2"/>
  <c r="AE42" i="2"/>
  <c r="AE36" i="2"/>
  <c r="AL36" i="2"/>
  <c r="AL37" i="2" s="1"/>
  <c r="AL42" i="2"/>
  <c r="AL43" i="2" s="1"/>
  <c r="Y63" i="2"/>
  <c r="Y64" i="2" s="1"/>
  <c r="Y66" i="2"/>
  <c r="Y67" i="2" s="1"/>
  <c r="Y69" i="2"/>
  <c r="AA63" i="2"/>
  <c r="AA69" i="2"/>
  <c r="AA80" i="2" s="1"/>
  <c r="AA66" i="2"/>
  <c r="AS51" i="2"/>
  <c r="AS77" i="2" s="1"/>
  <c r="AS45" i="2"/>
  <c r="V48" i="2"/>
  <c r="V49" i="2" s="1"/>
  <c r="V54" i="2"/>
  <c r="V55" i="2" s="1"/>
  <c r="AM33" i="2"/>
  <c r="AM34" i="2" s="1"/>
  <c r="AM39" i="2"/>
  <c r="AM40" i="2" s="1"/>
  <c r="I63" i="2"/>
  <c r="I64" i="2" s="1"/>
  <c r="I66" i="2"/>
  <c r="I67" i="2" s="1"/>
  <c r="I69" i="2"/>
  <c r="E286" i="2"/>
  <c r="E288" i="2"/>
  <c r="E278" i="2"/>
  <c r="E287" i="2"/>
  <c r="E282" i="2"/>
  <c r="E290" i="2"/>
  <c r="E289" i="2"/>
  <c r="E281" i="2"/>
  <c r="E280" i="2"/>
  <c r="E279" i="2"/>
  <c r="E18" i="2"/>
  <c r="H51" i="2"/>
  <c r="H52" i="2" s="1"/>
  <c r="H45" i="2"/>
  <c r="H46" i="2" s="1"/>
  <c r="AF63" i="2"/>
  <c r="AF69" i="2"/>
  <c r="AF66" i="2"/>
  <c r="X69" i="2"/>
  <c r="X66" i="2"/>
  <c r="X63" i="2"/>
  <c r="M51" i="2"/>
  <c r="M77" i="2" s="1"/>
  <c r="M80" i="2"/>
  <c r="M45" i="2"/>
  <c r="AR45" i="2"/>
  <c r="AR51" i="2"/>
  <c r="AR77" i="2" s="1"/>
  <c r="C33" i="2"/>
  <c r="C39" i="2"/>
  <c r="P63" i="2"/>
  <c r="P69" i="2"/>
  <c r="P66" i="2"/>
  <c r="AS66" i="2"/>
  <c r="AS63" i="2"/>
  <c r="AS69" i="2"/>
  <c r="AS80" i="2" s="1"/>
  <c r="E51" i="2"/>
  <c r="E77" i="2" s="1"/>
  <c r="E45" i="2"/>
  <c r="AB39" i="2"/>
  <c r="AB33" i="2"/>
  <c r="AJ45" i="2"/>
  <c r="AJ51" i="2"/>
  <c r="AJ77" i="2"/>
  <c r="P42" i="2"/>
  <c r="P36" i="2"/>
  <c r="W69" i="2"/>
  <c r="W80" i="2" s="1"/>
  <c r="W63" i="2"/>
  <c r="W66" i="2"/>
  <c r="C51" i="2"/>
  <c r="C77" i="2" s="1"/>
  <c r="C45" i="2"/>
  <c r="Z39" i="2"/>
  <c r="Z40" i="2" s="1"/>
  <c r="Z33" i="2"/>
  <c r="Z34" i="2" s="1"/>
  <c r="AM54" i="2"/>
  <c r="AM55" i="2" s="1"/>
  <c r="AM48" i="2"/>
  <c r="AM49" i="2" s="1"/>
  <c r="R80" i="2"/>
  <c r="R81" i="2" s="1"/>
  <c r="R45" i="2"/>
  <c r="R46" i="2" s="1"/>
  <c r="R51" i="2"/>
  <c r="R52" i="2" s="1"/>
  <c r="AO63" i="2"/>
  <c r="AO64" i="2" s="1"/>
  <c r="AO69" i="2"/>
  <c r="AO66" i="2"/>
  <c r="AO67" i="2" s="1"/>
  <c r="AN77" i="2"/>
  <c r="AN80" i="2"/>
  <c r="AN51" i="2"/>
  <c r="AN45" i="2"/>
  <c r="T42" i="2"/>
  <c r="T36" i="2"/>
  <c r="AQ63" i="2"/>
  <c r="AQ69" i="2"/>
  <c r="AQ66" i="2"/>
  <c r="D48" i="2"/>
  <c r="D54" i="2"/>
  <c r="X287" i="2"/>
  <c r="X282" i="2"/>
  <c r="X286" i="2"/>
  <c r="X281" i="2"/>
  <c r="X280" i="2"/>
  <c r="X279" i="2"/>
  <c r="X278" i="2"/>
  <c r="X290" i="2"/>
  <c r="X289" i="2"/>
  <c r="X291" i="2" s="1"/>
  <c r="X288" i="2"/>
  <c r="X18" i="2"/>
  <c r="H291" i="2"/>
  <c r="Y291" i="2"/>
  <c r="T45" i="2"/>
  <c r="T51" i="2"/>
  <c r="T77" i="2" s="1"/>
  <c r="AI33" i="2"/>
  <c r="AI39" i="2"/>
  <c r="W42" i="2"/>
  <c r="W36" i="2"/>
  <c r="AS286" i="2"/>
  <c r="AS288" i="2"/>
  <c r="AS278" i="2"/>
  <c r="AS287" i="2"/>
  <c r="AS282" i="2"/>
  <c r="AS281" i="2"/>
  <c r="AS280" i="2"/>
  <c r="AS279" i="2"/>
  <c r="AS290" i="2"/>
  <c r="AS289" i="2"/>
  <c r="AS18" i="2"/>
  <c r="H69" i="2"/>
  <c r="H70" i="2" s="1"/>
  <c r="H66" i="2"/>
  <c r="H67" i="2" s="1"/>
  <c r="H63" i="2"/>
  <c r="H64" i="2" s="1"/>
  <c r="AK66" i="2"/>
  <c r="AK69" i="2"/>
  <c r="AK80" i="2" s="1"/>
  <c r="AK63" i="2"/>
  <c r="AO42" i="2"/>
  <c r="AO43" i="2" s="1"/>
  <c r="AO36" i="2"/>
  <c r="AO37" i="2" s="1"/>
  <c r="T39" i="2"/>
  <c r="T33" i="2"/>
  <c r="AB45" i="2"/>
  <c r="AB51" i="2"/>
  <c r="AB77" i="2" s="1"/>
  <c r="H42" i="2"/>
  <c r="H43" i="2" s="1"/>
  <c r="H36" i="2"/>
  <c r="H37" i="2" s="1"/>
  <c r="O69" i="2"/>
  <c r="O63" i="2"/>
  <c r="O64" i="2" s="1"/>
  <c r="O66" i="2"/>
  <c r="O67" i="2" s="1"/>
  <c r="AM36" i="2"/>
  <c r="AM37" i="2" s="1"/>
  <c r="AM42" i="2"/>
  <c r="AM43" i="2" s="1"/>
  <c r="R39" i="2"/>
  <c r="R40" i="2" s="1"/>
  <c r="R33" i="2"/>
  <c r="R34" i="2" s="1"/>
  <c r="AE54" i="2"/>
  <c r="AE48" i="2"/>
  <c r="J80" i="2"/>
  <c r="J81" i="2" s="1"/>
  <c r="J45" i="2"/>
  <c r="J46" i="2" s="1"/>
  <c r="J51" i="2"/>
  <c r="J52" i="2" s="1"/>
  <c r="AL48" i="2"/>
  <c r="AL49" i="2" s="1"/>
  <c r="AL54" i="2"/>
  <c r="AL55" i="2" s="1"/>
  <c r="AG69" i="2"/>
  <c r="AG66" i="2"/>
  <c r="AG67" i="2" s="1"/>
  <c r="AG63" i="2"/>
  <c r="AG64" i="2" s="1"/>
  <c r="AF80" i="2"/>
  <c r="AF51" i="2"/>
  <c r="AF77" i="2" s="1"/>
  <c r="AF45" i="2"/>
  <c r="L42" i="2"/>
  <c r="L36" i="2"/>
  <c r="AI63" i="2"/>
  <c r="AI69" i="2"/>
  <c r="AI66" i="2"/>
  <c r="AQ282" i="2"/>
  <c r="AQ286" i="2"/>
  <c r="AQ281" i="2"/>
  <c r="AQ290" i="2"/>
  <c r="AQ280" i="2"/>
  <c r="AQ289" i="2"/>
  <c r="AQ288" i="2"/>
  <c r="AQ287" i="2"/>
  <c r="AQ279" i="2"/>
  <c r="AQ278" i="2"/>
  <c r="AQ22" i="2"/>
  <c r="AQ25" i="2"/>
  <c r="AQ18" i="2"/>
  <c r="AQ24" i="2"/>
  <c r="AQ23" i="2"/>
  <c r="AQ21" i="2"/>
  <c r="AM291" i="2"/>
  <c r="AD283" i="2"/>
  <c r="N291" i="2"/>
  <c r="AO54" i="2"/>
  <c r="AO55" i="2" s="1"/>
  <c r="AO48" i="2"/>
  <c r="AO49" i="2" s="1"/>
  <c r="G69" i="2"/>
  <c r="G80" i="2" s="1"/>
  <c r="G66" i="2"/>
  <c r="G63" i="2"/>
  <c r="W54" i="2"/>
  <c r="W48" i="2"/>
  <c r="X80" i="2"/>
  <c r="X51" i="2"/>
  <c r="X77" i="2" s="1"/>
  <c r="X45" i="2"/>
  <c r="AL69" i="2"/>
  <c r="AL66" i="2"/>
  <c r="AL67" i="2" s="1"/>
  <c r="AL63" i="2"/>
  <c r="AL64" i="2" s="1"/>
  <c r="U66" i="2"/>
  <c r="U69" i="2"/>
  <c r="U63" i="2"/>
  <c r="Y42" i="2"/>
  <c r="Y43" i="2" s="1"/>
  <c r="Y36" i="2"/>
  <c r="Y37" i="2" s="1"/>
  <c r="AG54" i="2"/>
  <c r="AG55" i="2" s="1"/>
  <c r="AG48" i="2"/>
  <c r="AG49" i="2" s="1"/>
  <c r="AQ80" i="2"/>
  <c r="AQ77" i="2"/>
  <c r="AQ51" i="2"/>
  <c r="AQ45" i="2"/>
  <c r="O54" i="2"/>
  <c r="O55" i="2" s="1"/>
  <c r="O48" i="2"/>
  <c r="O49" i="2" s="1"/>
  <c r="S63" i="2"/>
  <c r="S66" i="2"/>
  <c r="S69" i="2"/>
  <c r="AK51" i="2"/>
  <c r="AK45" i="2"/>
  <c r="AK77" i="2"/>
  <c r="AH283" i="2"/>
  <c r="AH19" i="2" s="1"/>
  <c r="AG25" i="2"/>
  <c r="AG22" i="2"/>
  <c r="AG23" i="2" s="1"/>
  <c r="AG24" i="2"/>
  <c r="AG21" i="2"/>
  <c r="H19" i="2"/>
  <c r="L39" i="2"/>
  <c r="L33" i="2"/>
  <c r="J39" i="2"/>
  <c r="J40" i="2" s="1"/>
  <c r="J33" i="2"/>
  <c r="J34" i="2" s="1"/>
  <c r="AD48" i="2"/>
  <c r="AD49" i="2" s="1"/>
  <c r="AD54" i="2"/>
  <c r="AD55" i="2" s="1"/>
  <c r="AI282" i="2"/>
  <c r="AI286" i="2"/>
  <c r="AI281" i="2"/>
  <c r="AI290" i="2"/>
  <c r="AI280" i="2"/>
  <c r="AI289" i="2"/>
  <c r="AI288" i="2"/>
  <c r="AI287" i="2"/>
  <c r="AI279" i="2"/>
  <c r="AI278" i="2"/>
  <c r="AI18" i="2"/>
  <c r="D33" i="2"/>
  <c r="D39" i="2"/>
  <c r="L45" i="2"/>
  <c r="L51" i="2"/>
  <c r="L77" i="2" s="1"/>
  <c r="AD36" i="2"/>
  <c r="AD37" i="2" s="1"/>
  <c r="AD42" i="2"/>
  <c r="AD43" i="2" s="1"/>
  <c r="Q69" i="2"/>
  <c r="Q66" i="2"/>
  <c r="Q67" i="2" s="1"/>
  <c r="Q63" i="2"/>
  <c r="Q64" i="2" s="1"/>
  <c r="Q42" i="2"/>
  <c r="Q43" i="2" s="1"/>
  <c r="Q36" i="2"/>
  <c r="Q37" i="2" s="1"/>
  <c r="N48" i="2"/>
  <c r="N49" i="2" s="1"/>
  <c r="N54" i="2"/>
  <c r="N55" i="2" s="1"/>
  <c r="AR66" i="2"/>
  <c r="AR69" i="2"/>
  <c r="AR80" i="2" s="1"/>
  <c r="AR63" i="2"/>
  <c r="K63" i="2"/>
  <c r="K69" i="2"/>
  <c r="K80" i="2" s="1"/>
  <c r="K66" i="2"/>
  <c r="T66" i="2"/>
  <c r="T69" i="2"/>
  <c r="T80" i="2" s="1"/>
  <c r="T63" i="2"/>
  <c r="AB289" i="2"/>
  <c r="AB291" i="2" s="1"/>
  <c r="AB279" i="2"/>
  <c r="AB281" i="2"/>
  <c r="AB283" i="2" s="1"/>
  <c r="AB288" i="2"/>
  <c r="AB278" i="2"/>
  <c r="AB290" i="2"/>
  <c r="AB280" i="2"/>
  <c r="AB287" i="2"/>
  <c r="AB286" i="2"/>
  <c r="AB282" i="2"/>
  <c r="AB18" i="2"/>
  <c r="S282" i="2"/>
  <c r="S286" i="2"/>
  <c r="S281" i="2"/>
  <c r="S283" i="2" s="1"/>
  <c r="S290" i="2"/>
  <c r="S280" i="2"/>
  <c r="S289" i="2"/>
  <c r="S288" i="2"/>
  <c r="S287" i="2"/>
  <c r="S279" i="2"/>
  <c r="S278" i="2"/>
  <c r="S18" i="2"/>
  <c r="AN287" i="2"/>
  <c r="AN282" i="2"/>
  <c r="AN286" i="2"/>
  <c r="AN281" i="2"/>
  <c r="AN290" i="2"/>
  <c r="AN289" i="2"/>
  <c r="AN288" i="2"/>
  <c r="AN280" i="2"/>
  <c r="AN279" i="2"/>
  <c r="AN278" i="2"/>
  <c r="AN25" i="2"/>
  <c r="AN21" i="2"/>
  <c r="AN23" i="2"/>
  <c r="AN18" i="2"/>
  <c r="AN24" i="2"/>
  <c r="AN22" i="2"/>
  <c r="AN69" i="2"/>
  <c r="AN66" i="2"/>
  <c r="AN63" i="2"/>
  <c r="E66" i="2"/>
  <c r="E63" i="2"/>
  <c r="E69" i="2"/>
  <c r="E80" i="2" s="1"/>
  <c r="AC80" i="2"/>
  <c r="AC81" i="2" s="1"/>
  <c r="AC51" i="2"/>
  <c r="AC52" i="2" s="1"/>
  <c r="AC45" i="2"/>
  <c r="AC46" i="2" s="1"/>
  <c r="I42" i="2"/>
  <c r="I43" i="2" s="1"/>
  <c r="I36" i="2"/>
  <c r="I37" i="2" s="1"/>
  <c r="Q48" i="2"/>
  <c r="Q49" i="2" s="1"/>
  <c r="Q54" i="2"/>
  <c r="Q55" i="2" s="1"/>
  <c r="AN42" i="2"/>
  <c r="AN36" i="2"/>
  <c r="S33" i="2"/>
  <c r="S39" i="2"/>
  <c r="AA51" i="2"/>
  <c r="AA77" i="2" s="1"/>
  <c r="AA45" i="2"/>
  <c r="G36" i="2"/>
  <c r="G42" i="2"/>
  <c r="AP80" i="2"/>
  <c r="AP81" i="2" s="1"/>
  <c r="AP45" i="2"/>
  <c r="AP46" i="2" s="1"/>
  <c r="AP51" i="2"/>
  <c r="AP52" i="2" s="1"/>
  <c r="N36" i="2"/>
  <c r="N37" i="2" s="1"/>
  <c r="N42" i="2"/>
  <c r="N43" i="2" s="1"/>
  <c r="F48" i="2"/>
  <c r="F54" i="2"/>
  <c r="V69" i="2"/>
  <c r="V63" i="2"/>
  <c r="V64" i="2" s="1"/>
  <c r="V66" i="2"/>
  <c r="V67" i="2" s="1"/>
  <c r="AJ66" i="2"/>
  <c r="AJ63" i="2"/>
  <c r="AJ69" i="2"/>
  <c r="AJ80" i="2" s="1"/>
  <c r="AR42" i="2"/>
  <c r="AR36" i="2"/>
  <c r="W39" i="2"/>
  <c r="W33" i="2"/>
  <c r="C63" i="2"/>
  <c r="C66" i="2"/>
  <c r="C69" i="2"/>
  <c r="C80" i="2" s="1"/>
  <c r="AB48" i="2"/>
  <c r="AB54" i="2"/>
  <c r="L66" i="2"/>
  <c r="L69" i="2"/>
  <c r="L80" i="2" s="1"/>
  <c r="L63" i="2"/>
  <c r="T289" i="2"/>
  <c r="T291" i="2" s="1"/>
  <c r="T279" i="2"/>
  <c r="T281" i="2"/>
  <c r="T288" i="2"/>
  <c r="T278" i="2"/>
  <c r="T290" i="2"/>
  <c r="T280" i="2"/>
  <c r="T287" i="2"/>
  <c r="T286" i="2"/>
  <c r="T282" i="2"/>
  <c r="T18" i="2"/>
  <c r="K282" i="2"/>
  <c r="K286" i="2"/>
  <c r="K281" i="2"/>
  <c r="K290" i="2"/>
  <c r="K280" i="2"/>
  <c r="K289" i="2"/>
  <c r="K288" i="2"/>
  <c r="K287" i="2"/>
  <c r="K279" i="2"/>
  <c r="K278" i="2"/>
  <c r="K18" i="2"/>
  <c r="U286" i="2"/>
  <c r="U288" i="2"/>
  <c r="U278" i="2"/>
  <c r="U287" i="2"/>
  <c r="U282" i="2"/>
  <c r="U290" i="2"/>
  <c r="U289" i="2"/>
  <c r="U291" i="2" s="1"/>
  <c r="U281" i="2"/>
  <c r="U280" i="2"/>
  <c r="U279" i="2"/>
  <c r="U18" i="2"/>
  <c r="G288" i="2"/>
  <c r="G278" i="2"/>
  <c r="G290" i="2"/>
  <c r="G280" i="2"/>
  <c r="G287" i="2"/>
  <c r="G289" i="2"/>
  <c r="G279" i="2"/>
  <c r="G286" i="2"/>
  <c r="G282" i="2"/>
  <c r="G281" i="2"/>
  <c r="G283" i="2" s="1"/>
  <c r="G18" i="2"/>
  <c r="F281" i="2"/>
  <c r="F283" i="2" s="1"/>
  <c r="F290" i="2"/>
  <c r="F280" i="2"/>
  <c r="F282" i="2"/>
  <c r="F289" i="2"/>
  <c r="F279" i="2"/>
  <c r="F288" i="2"/>
  <c r="F287" i="2"/>
  <c r="F286" i="2"/>
  <c r="F278" i="2"/>
  <c r="F18" i="2"/>
  <c r="AM283" i="2"/>
  <c r="AM19" i="2" s="1"/>
  <c r="P287" i="2"/>
  <c r="P282" i="2"/>
  <c r="P286" i="2"/>
  <c r="P281" i="2"/>
  <c r="P290" i="2"/>
  <c r="P289" i="2"/>
  <c r="P288" i="2"/>
  <c r="P280" i="2"/>
  <c r="P279" i="2"/>
  <c r="P278" i="2"/>
  <c r="P18" i="2"/>
  <c r="J291" i="2"/>
  <c r="AD291" i="2"/>
  <c r="N283" i="2"/>
  <c r="N19" i="2" s="1"/>
  <c r="AG36" i="2"/>
  <c r="AG37" i="2" s="1"/>
  <c r="AG42" i="2"/>
  <c r="AG43" i="2" s="1"/>
  <c r="D42" i="2"/>
  <c r="D36" i="2"/>
  <c r="AR289" i="2"/>
  <c r="AR279" i="2"/>
  <c r="AR281" i="2"/>
  <c r="AR288" i="2"/>
  <c r="AR278" i="2"/>
  <c r="AR290" i="2"/>
  <c r="AR280" i="2"/>
  <c r="AR287" i="2"/>
  <c r="AR286" i="2"/>
  <c r="AR282" i="2"/>
  <c r="AR18" i="2"/>
  <c r="P51" i="2"/>
  <c r="P77" i="2" s="1"/>
  <c r="P80" i="2"/>
  <c r="P45" i="2"/>
  <c r="AR48" i="2"/>
  <c r="AR54" i="2"/>
  <c r="AJ289" i="2"/>
  <c r="AJ279" i="2"/>
  <c r="AJ281" i="2"/>
  <c r="AJ288" i="2"/>
  <c r="AJ278" i="2"/>
  <c r="AJ290" i="2"/>
  <c r="AJ280" i="2"/>
  <c r="AJ287" i="2"/>
  <c r="AJ286" i="2"/>
  <c r="AJ282" i="2"/>
  <c r="AJ18" i="2"/>
  <c r="AA282" i="2"/>
  <c r="AA286" i="2"/>
  <c r="AA281" i="2"/>
  <c r="AA290" i="2"/>
  <c r="AA280" i="2"/>
  <c r="AA289" i="2"/>
  <c r="AA288" i="2"/>
  <c r="AA287" i="2"/>
  <c r="AA279" i="2"/>
  <c r="AA278" i="2"/>
  <c r="AA18" i="2"/>
  <c r="AE288" i="2"/>
  <c r="AE278" i="2"/>
  <c r="AE290" i="2"/>
  <c r="AE280" i="2"/>
  <c r="AE287" i="2"/>
  <c r="AE289" i="2"/>
  <c r="AE279" i="2"/>
  <c r="AE286" i="2"/>
  <c r="AE282" i="2"/>
  <c r="AE281" i="2"/>
  <c r="AE18" i="2"/>
  <c r="M66" i="2"/>
  <c r="M63" i="2"/>
  <c r="M69" i="2"/>
  <c r="D45" i="2"/>
  <c r="D51" i="2"/>
  <c r="D77" i="2" s="1"/>
  <c r="AI80" i="2"/>
  <c r="AI77" i="2"/>
  <c r="AI51" i="2"/>
  <c r="AI45" i="2"/>
  <c r="V36" i="2"/>
  <c r="V37" i="2" s="1"/>
  <c r="V42" i="2"/>
  <c r="V43" i="2" s="1"/>
  <c r="AE33" i="2"/>
  <c r="AE39" i="2"/>
  <c r="W288" i="2"/>
  <c r="W278" i="2"/>
  <c r="W290" i="2"/>
  <c r="W280" i="2"/>
  <c r="W287" i="2"/>
  <c r="W289" i="2"/>
  <c r="W279" i="2"/>
  <c r="W286" i="2"/>
  <c r="W282" i="2"/>
  <c r="W281" i="2"/>
  <c r="W18" i="2"/>
  <c r="U51" i="2"/>
  <c r="U77" i="2" s="1"/>
  <c r="U80" i="2"/>
  <c r="U45" i="2"/>
  <c r="AR39" i="2"/>
  <c r="AR33" i="2"/>
  <c r="I48" i="2"/>
  <c r="I49" i="2" s="1"/>
  <c r="I54" i="2"/>
  <c r="I55" i="2" s="1"/>
  <c r="AF42" i="2"/>
  <c r="AF36" i="2"/>
  <c r="K39" i="2"/>
  <c r="K33" i="2"/>
  <c r="AM69" i="2"/>
  <c r="AM66" i="2"/>
  <c r="AM67" i="2" s="1"/>
  <c r="AM63" i="2"/>
  <c r="AM64" i="2" s="1"/>
  <c r="S80" i="2"/>
  <c r="S51" i="2"/>
  <c r="S77" i="2" s="1"/>
  <c r="S45" i="2"/>
  <c r="AP39" i="2"/>
  <c r="AP40" i="2" s="1"/>
  <c r="AP33" i="2"/>
  <c r="AP34" i="2" s="1"/>
  <c r="AH45" i="2"/>
  <c r="AH46" i="2" s="1"/>
  <c r="AH51" i="2"/>
  <c r="AH52" i="2" s="1"/>
  <c r="F36" i="2"/>
  <c r="F42" i="2"/>
  <c r="H39" i="2"/>
  <c r="H40" i="2" s="1"/>
  <c r="H33" i="2"/>
  <c r="H34" i="2" s="1"/>
  <c r="N69" i="2"/>
  <c r="N63" i="2"/>
  <c r="N64" i="2" s="1"/>
  <c r="N66" i="2"/>
  <c r="N67" i="2" s="1"/>
  <c r="AB66" i="2"/>
  <c r="AB69" i="2"/>
  <c r="AB80" i="2" s="1"/>
  <c r="AB63" i="2"/>
  <c r="AJ42" i="2"/>
  <c r="AJ36" i="2"/>
  <c r="O39" i="2"/>
  <c r="O40" i="2" s="1"/>
  <c r="O33" i="2"/>
  <c r="O34" i="2" s="1"/>
  <c r="T48" i="2"/>
  <c r="T54" i="2"/>
  <c r="L289" i="2"/>
  <c r="L279" i="2"/>
  <c r="L281" i="2"/>
  <c r="L288" i="2"/>
  <c r="L278" i="2"/>
  <c r="L290" i="2"/>
  <c r="L280" i="2"/>
  <c r="L287" i="2"/>
  <c r="L286" i="2"/>
  <c r="L282" i="2"/>
  <c r="L18" i="2"/>
  <c r="C282" i="2"/>
  <c r="C286" i="2"/>
  <c r="C281" i="2"/>
  <c r="C283" i="2" s="1"/>
  <c r="C290" i="2"/>
  <c r="C280" i="2"/>
  <c r="C279" i="2"/>
  <c r="C278" i="2"/>
  <c r="C287" i="2"/>
  <c r="C289" i="2"/>
  <c r="C288" i="2"/>
  <c r="C18" i="2"/>
  <c r="M286" i="2"/>
  <c r="M288" i="2"/>
  <c r="M278" i="2"/>
  <c r="M287" i="2"/>
  <c r="M282" i="2"/>
  <c r="M290" i="2"/>
  <c r="M289" i="2"/>
  <c r="M281" i="2"/>
  <c r="M280" i="2"/>
  <c r="M279" i="2"/>
  <c r="M18" i="2"/>
  <c r="AP291" i="2"/>
  <c r="AP19" i="2" s="1"/>
  <c r="J283" i="2"/>
  <c r="Y283" i="2"/>
  <c r="Y19" i="2" s="1"/>
  <c r="Y54" i="2"/>
  <c r="Y55" i="2" s="1"/>
  <c r="Y48" i="2"/>
  <c r="Y49" i="2" s="1"/>
  <c r="AA33" i="2"/>
  <c r="AA39" i="2"/>
  <c r="O42" i="2"/>
  <c r="O43" i="2" s="1"/>
  <c r="O36" i="2"/>
  <c r="O37" i="2" s="1"/>
  <c r="G54" i="2"/>
  <c r="G48" i="2"/>
  <c r="AD69" i="2"/>
  <c r="AD66" i="2"/>
  <c r="AD67" i="2" s="1"/>
  <c r="AD63" i="2"/>
  <c r="AD64" i="2" s="1"/>
  <c r="AJ48" i="2"/>
  <c r="AJ54" i="2"/>
  <c r="AK286" i="2"/>
  <c r="AK288" i="2"/>
  <c r="AK278" i="2"/>
  <c r="AK287" i="2"/>
  <c r="AK282" i="2"/>
  <c r="AK290" i="2"/>
  <c r="AK289" i="2"/>
  <c r="AK281" i="2"/>
  <c r="AK280" i="2"/>
  <c r="AK279" i="2"/>
  <c r="AK18" i="2"/>
  <c r="AJ39" i="2"/>
  <c r="AJ33" i="2"/>
  <c r="X42" i="2"/>
  <c r="X36" i="2"/>
  <c r="AE69" i="2"/>
  <c r="AE80" i="2" s="1"/>
  <c r="AE63" i="2"/>
  <c r="AE66" i="2"/>
  <c r="K45" i="2"/>
  <c r="K51" i="2"/>
  <c r="K77" i="2" s="1"/>
  <c r="AH39" i="2"/>
  <c r="AH40" i="2" s="1"/>
  <c r="AH33" i="2"/>
  <c r="AH34" i="2" s="1"/>
  <c r="Z80" i="2"/>
  <c r="Z81" i="2" s="1"/>
  <c r="Z45" i="2"/>
  <c r="Z46" i="2" s="1"/>
  <c r="Z51" i="2"/>
  <c r="Z52" i="2" s="1"/>
  <c r="F69" i="2"/>
  <c r="F80" i="2" s="1"/>
  <c r="F66" i="2"/>
  <c r="F63" i="2"/>
  <c r="D66" i="2"/>
  <c r="D63" i="2"/>
  <c r="D69" i="2"/>
  <c r="D80" i="2" s="1"/>
  <c r="AB42" i="2"/>
  <c r="AB36" i="2"/>
  <c r="G39" i="2"/>
  <c r="G33" i="2"/>
  <c r="L48" i="2"/>
  <c r="L54" i="2"/>
  <c r="D289" i="2"/>
  <c r="D279" i="2"/>
  <c r="D281" i="2"/>
  <c r="D288" i="2"/>
  <c r="D278" i="2"/>
  <c r="D290" i="2"/>
  <c r="D280" i="2"/>
  <c r="D287" i="2"/>
  <c r="D286" i="2"/>
  <c r="D282" i="2"/>
  <c r="D18" i="2"/>
  <c r="AF287" i="2"/>
  <c r="AF282" i="2"/>
  <c r="AF286" i="2"/>
  <c r="AF281" i="2"/>
  <c r="AF283" i="2" s="1"/>
  <c r="AF290" i="2"/>
  <c r="AF289" i="2"/>
  <c r="AF288" i="2"/>
  <c r="AF280" i="2"/>
  <c r="AF279" i="2"/>
  <c r="AF278" i="2"/>
  <c r="AF18" i="2"/>
  <c r="O283" i="2"/>
  <c r="O19" i="2" s="1"/>
  <c r="AL283" i="2"/>
  <c r="AL19" i="2" s="1"/>
  <c r="V291" i="2"/>
  <c r="V19" i="2" s="1"/>
  <c r="R25" i="2" l="1"/>
  <c r="R22" i="2"/>
  <c r="R23" i="2" s="1"/>
  <c r="R21" i="2"/>
  <c r="R24" i="2"/>
  <c r="Q19" i="2"/>
  <c r="AO22" i="2"/>
  <c r="AO23" i="2" s="1"/>
  <c r="AO24" i="2"/>
  <c r="AO21" i="2"/>
  <c r="AO25" i="2"/>
  <c r="Z19" i="2"/>
  <c r="AH70" i="2"/>
  <c r="Q52" i="2"/>
  <c r="AG52" i="2"/>
  <c r="AG77" i="2"/>
  <c r="AG78" i="2" s="1"/>
  <c r="AD19" i="2"/>
  <c r="AN283" i="2"/>
  <c r="AO77" i="2"/>
  <c r="AO78" i="2" s="1"/>
  <c r="AO52" i="2"/>
  <c r="AQ291" i="2"/>
  <c r="I291" i="2"/>
  <c r="I283" i="2"/>
  <c r="I19" i="2" s="1"/>
  <c r="AL77" i="2"/>
  <c r="AL78" i="2" s="1"/>
  <c r="AL52" i="2"/>
  <c r="O77" i="2"/>
  <c r="O78" i="2" s="1"/>
  <c r="O52" i="2"/>
  <c r="AF291" i="2"/>
  <c r="AF19" i="2" s="1"/>
  <c r="D283" i="2"/>
  <c r="D19" i="2" s="1"/>
  <c r="AJ283" i="2"/>
  <c r="AD77" i="2"/>
  <c r="AD78" i="2" s="1"/>
  <c r="AD52" i="2"/>
  <c r="AI283" i="2"/>
  <c r="Q291" i="2"/>
  <c r="L283" i="2"/>
  <c r="L19" i="2" s="1"/>
  <c r="AJ291" i="2"/>
  <c r="I52" i="2"/>
  <c r="I77" i="2"/>
  <c r="I78" i="2" s="1"/>
  <c r="V77" i="2"/>
  <c r="V78" i="2" s="1"/>
  <c r="V52" i="2"/>
  <c r="W283" i="2"/>
  <c r="AA283" i="2"/>
  <c r="AA19" i="2" s="1"/>
  <c r="AC19" i="2"/>
  <c r="L291" i="2"/>
  <c r="AR291" i="2"/>
  <c r="AP22" i="2"/>
  <c r="AP23" i="2" s="1"/>
  <c r="AP25" i="2"/>
  <c r="AP21" i="2"/>
  <c r="AP24" i="2"/>
  <c r="Z25" i="2"/>
  <c r="Z22" i="2"/>
  <c r="Z23" i="2" s="1"/>
  <c r="Z21" i="2"/>
  <c r="Z24" i="2"/>
  <c r="V24" i="2"/>
  <c r="V21" i="2"/>
  <c r="V25" i="2"/>
  <c r="V22" i="2"/>
  <c r="V23" i="2" s="1"/>
  <c r="AM24" i="2"/>
  <c r="AM21" i="2"/>
  <c r="AM25" i="2"/>
  <c r="AM22" i="2"/>
  <c r="AM23" i="2" s="1"/>
  <c r="O24" i="2"/>
  <c r="O21" i="2"/>
  <c r="O22" i="2"/>
  <c r="O23" i="2" s="1"/>
  <c r="O25" i="2"/>
  <c r="AD80" i="2"/>
  <c r="AD81" i="2" s="1"/>
  <c r="AD70" i="2"/>
  <c r="AM80" i="2"/>
  <c r="AM81" i="2" s="1"/>
  <c r="AM70" i="2"/>
  <c r="AS78" i="2"/>
  <c r="AS73" i="2"/>
  <c r="AS61" i="2"/>
  <c r="AS55" i="2"/>
  <c r="AS43" i="2"/>
  <c r="AS70" i="2"/>
  <c r="AS67" i="2"/>
  <c r="AS64" i="2"/>
  <c r="AS49" i="2"/>
  <c r="AS37" i="2"/>
  <c r="AS58" i="2"/>
  <c r="AS52" i="2"/>
  <c r="AS40" i="2"/>
  <c r="AS34" i="2"/>
  <c r="AS81" i="2"/>
  <c r="AS46" i="2"/>
  <c r="AS31" i="2"/>
  <c r="AS28" i="2"/>
  <c r="C291" i="2"/>
  <c r="D291" i="2"/>
  <c r="AH77" i="2"/>
  <c r="AH78" i="2" s="1"/>
  <c r="W81" i="2"/>
  <c r="W78" i="2"/>
  <c r="W64" i="2"/>
  <c r="W46" i="2"/>
  <c r="W70" i="2"/>
  <c r="W67" i="2"/>
  <c r="W52" i="2"/>
  <c r="W40" i="2"/>
  <c r="W58" i="2"/>
  <c r="W55" i="2"/>
  <c r="W43" i="2"/>
  <c r="W73" i="2"/>
  <c r="W49" i="2"/>
  <c r="W31" i="2"/>
  <c r="W34" i="2"/>
  <c r="W28" i="2"/>
  <c r="W61" i="2"/>
  <c r="W37" i="2"/>
  <c r="AE291" i="2"/>
  <c r="AA291" i="2"/>
  <c r="N24" i="2"/>
  <c r="N21" i="2"/>
  <c r="N25" i="2"/>
  <c r="N22" i="2"/>
  <c r="N23" i="2" s="1"/>
  <c r="U78" i="2"/>
  <c r="U81" i="2"/>
  <c r="U73" i="2"/>
  <c r="U61" i="2"/>
  <c r="U55" i="2"/>
  <c r="U43" i="2"/>
  <c r="U49" i="2"/>
  <c r="U37" i="2"/>
  <c r="U70" i="2"/>
  <c r="U67" i="2"/>
  <c r="U64" i="2"/>
  <c r="U52" i="2"/>
  <c r="U40" i="2"/>
  <c r="U58" i="2"/>
  <c r="U34" i="2"/>
  <c r="U46" i="2"/>
  <c r="U31" i="2"/>
  <c r="U28" i="2"/>
  <c r="AN81" i="2"/>
  <c r="AN64" i="2"/>
  <c r="AN78" i="2"/>
  <c r="AN73" i="2"/>
  <c r="AN58" i="2"/>
  <c r="AN49" i="2"/>
  <c r="AN55" i="2"/>
  <c r="AN61" i="2"/>
  <c r="AN40" i="2"/>
  <c r="AN46" i="2"/>
  <c r="AN37" i="2"/>
  <c r="AN34" i="2"/>
  <c r="AN70" i="2"/>
  <c r="AN52" i="2"/>
  <c r="AN67" i="2"/>
  <c r="AN43" i="2"/>
  <c r="AN28" i="2"/>
  <c r="AN31" i="2"/>
  <c r="AN291" i="2"/>
  <c r="S291" i="2"/>
  <c r="S19" i="2" s="1"/>
  <c r="AI291" i="2"/>
  <c r="Y25" i="2"/>
  <c r="Y22" i="2"/>
  <c r="Y23" i="2" s="1"/>
  <c r="Y24" i="2"/>
  <c r="Y21" i="2"/>
  <c r="D73" i="2"/>
  <c r="D70" i="2"/>
  <c r="D61" i="2"/>
  <c r="D55" i="2"/>
  <c r="D58" i="2"/>
  <c r="D81" i="2"/>
  <c r="D78" i="2"/>
  <c r="D49" i="2"/>
  <c r="D52" i="2"/>
  <c r="D40" i="2"/>
  <c r="D67" i="2"/>
  <c r="D31" i="2"/>
  <c r="D43" i="2"/>
  <c r="D28" i="2"/>
  <c r="D34" i="2"/>
  <c r="D46" i="2"/>
  <c r="D37" i="2"/>
  <c r="D64" i="2"/>
  <c r="AK78" i="2"/>
  <c r="AK61" i="2"/>
  <c r="AK55" i="2"/>
  <c r="AK43" i="2"/>
  <c r="AK49" i="2"/>
  <c r="AK37" i="2"/>
  <c r="AK81" i="2"/>
  <c r="AK52" i="2"/>
  <c r="AK40" i="2"/>
  <c r="AK67" i="2"/>
  <c r="AK70" i="2"/>
  <c r="AK64" i="2"/>
  <c r="AK46" i="2"/>
  <c r="AK58" i="2"/>
  <c r="AK34" i="2"/>
  <c r="AK28" i="2"/>
  <c r="AK73" i="2"/>
  <c r="AK31" i="2"/>
  <c r="C73" i="2"/>
  <c r="C70" i="2"/>
  <c r="C58" i="2"/>
  <c r="C52" i="2"/>
  <c r="C61" i="2"/>
  <c r="C67" i="2"/>
  <c r="C64" i="2"/>
  <c r="C46" i="2"/>
  <c r="C81" i="2"/>
  <c r="C78" i="2"/>
  <c r="C49" i="2"/>
  <c r="C37" i="2"/>
  <c r="C55" i="2"/>
  <c r="C31" i="2"/>
  <c r="C43" i="2"/>
  <c r="C40" i="2"/>
  <c r="C28" i="2"/>
  <c r="C34" i="2"/>
  <c r="N80" i="2"/>
  <c r="N81" i="2" s="1"/>
  <c r="N70" i="2"/>
  <c r="W291" i="2"/>
  <c r="AA73" i="2"/>
  <c r="AA70" i="2"/>
  <c r="AA58" i="2"/>
  <c r="AA52" i="2"/>
  <c r="AA40" i="2"/>
  <c r="AA46" i="2"/>
  <c r="AA49" i="2"/>
  <c r="AA37" i="2"/>
  <c r="AA81" i="2"/>
  <c r="AA67" i="2"/>
  <c r="AA31" i="2"/>
  <c r="AA61" i="2"/>
  <c r="AA78" i="2"/>
  <c r="AA64" i="2"/>
  <c r="AA43" i="2"/>
  <c r="AA34" i="2"/>
  <c r="AA28" i="2"/>
  <c r="AA55" i="2"/>
  <c r="AR283" i="2"/>
  <c r="AR19" i="2" s="1"/>
  <c r="F78" i="2"/>
  <c r="F61" i="2"/>
  <c r="F81" i="2"/>
  <c r="F73" i="2"/>
  <c r="F70" i="2"/>
  <c r="F67" i="2"/>
  <c r="F64" i="2"/>
  <c r="F52" i="2"/>
  <c r="F31" i="2"/>
  <c r="F49" i="2"/>
  <c r="F43" i="2"/>
  <c r="F34" i="2"/>
  <c r="F37" i="2"/>
  <c r="F28" i="2"/>
  <c r="F40" i="2"/>
  <c r="F55" i="2"/>
  <c r="F58" i="2"/>
  <c r="F46" i="2"/>
  <c r="K283" i="2"/>
  <c r="T283" i="2"/>
  <c r="T19" i="2" s="1"/>
  <c r="S73" i="2"/>
  <c r="S81" i="2"/>
  <c r="S78" i="2"/>
  <c r="S70" i="2"/>
  <c r="S58" i="2"/>
  <c r="S67" i="2"/>
  <c r="S64" i="2"/>
  <c r="S52" i="2"/>
  <c r="S46" i="2"/>
  <c r="S61" i="2"/>
  <c r="S49" i="2"/>
  <c r="S37" i="2"/>
  <c r="S55" i="2"/>
  <c r="S43" i="2"/>
  <c r="S31" i="2"/>
  <c r="S40" i="2"/>
  <c r="S34" i="2"/>
  <c r="S28" i="2"/>
  <c r="AI73" i="2"/>
  <c r="AI70" i="2"/>
  <c r="AI58" i="2"/>
  <c r="AI52" i="2"/>
  <c r="AI40" i="2"/>
  <c r="AI61" i="2"/>
  <c r="AI67" i="2"/>
  <c r="AI64" i="2"/>
  <c r="AI46" i="2"/>
  <c r="AI34" i="2"/>
  <c r="AI49" i="2"/>
  <c r="AI37" i="2"/>
  <c r="AI43" i="2"/>
  <c r="AI31" i="2"/>
  <c r="AI55" i="2"/>
  <c r="AI78" i="2"/>
  <c r="AI81" i="2"/>
  <c r="AI28" i="2"/>
  <c r="AI19" i="2"/>
  <c r="AH25" i="2"/>
  <c r="AH22" i="2"/>
  <c r="AH23" i="2" s="1"/>
  <c r="AH21" i="2"/>
  <c r="AH24" i="2"/>
  <c r="AL80" i="2"/>
  <c r="AL81" i="2" s="1"/>
  <c r="AL70" i="2"/>
  <c r="AQ283" i="2"/>
  <c r="AS283" i="2"/>
  <c r="AS19" i="2" s="1"/>
  <c r="R77" i="2"/>
  <c r="R78" i="2" s="1"/>
  <c r="E78" i="2"/>
  <c r="E61" i="2"/>
  <c r="E55" i="2"/>
  <c r="E43" i="2"/>
  <c r="E73" i="2"/>
  <c r="E81" i="2"/>
  <c r="E49" i="2"/>
  <c r="E37" i="2"/>
  <c r="E52" i="2"/>
  <c r="E40" i="2"/>
  <c r="E58" i="2"/>
  <c r="E46" i="2"/>
  <c r="E34" i="2"/>
  <c r="E28" i="2"/>
  <c r="E70" i="2"/>
  <c r="E31" i="2"/>
  <c r="E64" i="2"/>
  <c r="E67" i="2"/>
  <c r="J19" i="2"/>
  <c r="AE283" i="2"/>
  <c r="AE19" i="2" s="1"/>
  <c r="AR73" i="2"/>
  <c r="AR70" i="2"/>
  <c r="AR58" i="2"/>
  <c r="AR55" i="2"/>
  <c r="AR67" i="2"/>
  <c r="AR64" i="2"/>
  <c r="AR49" i="2"/>
  <c r="AR46" i="2"/>
  <c r="AR34" i="2"/>
  <c r="AR43" i="2"/>
  <c r="AR31" i="2"/>
  <c r="AR78" i="2"/>
  <c r="AR61" i="2"/>
  <c r="AR81" i="2"/>
  <c r="AR40" i="2"/>
  <c r="AR52" i="2"/>
  <c r="AR37" i="2"/>
  <c r="AR28" i="2"/>
  <c r="U283" i="2"/>
  <c r="U19" i="2" s="1"/>
  <c r="T73" i="2"/>
  <c r="T70" i="2"/>
  <c r="T58" i="2"/>
  <c r="T55" i="2"/>
  <c r="T61" i="2"/>
  <c r="T49" i="2"/>
  <c r="T81" i="2"/>
  <c r="T78" i="2"/>
  <c r="T52" i="2"/>
  <c r="T31" i="2"/>
  <c r="T40" i="2"/>
  <c r="T37" i="2"/>
  <c r="T67" i="2"/>
  <c r="T46" i="2"/>
  <c r="T34" i="2"/>
  <c r="T64" i="2"/>
  <c r="T28" i="2"/>
  <c r="T43" i="2"/>
  <c r="AP77" i="2"/>
  <c r="AP78" i="2" s="1"/>
  <c r="H21" i="2"/>
  <c r="H25" i="2"/>
  <c r="H24" i="2"/>
  <c r="H22" i="2"/>
  <c r="H23" i="2" s="1"/>
  <c r="J77" i="2"/>
  <c r="J78" i="2" s="1"/>
  <c r="H80" i="2"/>
  <c r="H81" i="2" s="1"/>
  <c r="Y80" i="2"/>
  <c r="Y81" i="2" s="1"/>
  <c r="Y70" i="2"/>
  <c r="P81" i="2"/>
  <c r="P64" i="2"/>
  <c r="P78" i="2"/>
  <c r="P61" i="2"/>
  <c r="P70" i="2"/>
  <c r="P67" i="2"/>
  <c r="P49" i="2"/>
  <c r="P55" i="2"/>
  <c r="P40" i="2"/>
  <c r="P34" i="2"/>
  <c r="P58" i="2"/>
  <c r="P52" i="2"/>
  <c r="P43" i="2"/>
  <c r="P37" i="2"/>
  <c r="P73" i="2"/>
  <c r="P46" i="2"/>
  <c r="P19" i="2"/>
  <c r="P31" i="2"/>
  <c r="P28" i="2"/>
  <c r="P291" i="2"/>
  <c r="G81" i="2"/>
  <c r="G64" i="2"/>
  <c r="G70" i="2"/>
  <c r="G67" i="2"/>
  <c r="G46" i="2"/>
  <c r="G58" i="2"/>
  <c r="G78" i="2"/>
  <c r="G52" i="2"/>
  <c r="G40" i="2"/>
  <c r="G55" i="2"/>
  <c r="G43" i="2"/>
  <c r="G61" i="2"/>
  <c r="G73" i="2"/>
  <c r="G37" i="2"/>
  <c r="G49" i="2"/>
  <c r="G31" i="2"/>
  <c r="G34" i="2"/>
  <c r="G28" i="2"/>
  <c r="V80" i="2"/>
  <c r="V81" i="2" s="1"/>
  <c r="V70" i="2"/>
  <c r="Q80" i="2"/>
  <c r="Q81" i="2" s="1"/>
  <c r="Q70" i="2"/>
  <c r="AS291" i="2"/>
  <c r="X81" i="2"/>
  <c r="X64" i="2"/>
  <c r="X49" i="2"/>
  <c r="X58" i="2"/>
  <c r="X78" i="2"/>
  <c r="X55" i="2"/>
  <c r="X73" i="2"/>
  <c r="X70" i="2"/>
  <c r="X34" i="2"/>
  <c r="X40" i="2"/>
  <c r="X67" i="2"/>
  <c r="X46" i="2"/>
  <c r="X28" i="2"/>
  <c r="X52" i="2"/>
  <c r="X61" i="2"/>
  <c r="X43" i="2"/>
  <c r="X37" i="2"/>
  <c r="X31" i="2"/>
  <c r="H77" i="2"/>
  <c r="H78" i="2" s="1"/>
  <c r="AK283" i="2"/>
  <c r="AK19" i="2" s="1"/>
  <c r="M283" i="2"/>
  <c r="M19" i="2" s="1"/>
  <c r="L73" i="2"/>
  <c r="L70" i="2"/>
  <c r="L58" i="2"/>
  <c r="L55" i="2"/>
  <c r="L67" i="2"/>
  <c r="L64" i="2"/>
  <c r="L49" i="2"/>
  <c r="L61" i="2"/>
  <c r="L78" i="2"/>
  <c r="L40" i="2"/>
  <c r="L31" i="2"/>
  <c r="L81" i="2"/>
  <c r="L46" i="2"/>
  <c r="L43" i="2"/>
  <c r="L52" i="2"/>
  <c r="L37" i="2"/>
  <c r="L28" i="2"/>
  <c r="L34" i="2"/>
  <c r="AE81" i="2"/>
  <c r="AE78" i="2"/>
  <c r="AE73" i="2"/>
  <c r="AE64" i="2"/>
  <c r="AE46" i="2"/>
  <c r="AE52" i="2"/>
  <c r="AE40" i="2"/>
  <c r="AE61" i="2"/>
  <c r="AE70" i="2"/>
  <c r="AE67" i="2"/>
  <c r="AE55" i="2"/>
  <c r="AE43" i="2"/>
  <c r="AE58" i="2"/>
  <c r="AE49" i="2"/>
  <c r="AE28" i="2"/>
  <c r="AE31" i="2"/>
  <c r="AE37" i="2"/>
  <c r="AE34" i="2"/>
  <c r="AJ73" i="2"/>
  <c r="AJ70" i="2"/>
  <c r="AJ58" i="2"/>
  <c r="AJ61" i="2"/>
  <c r="AJ55" i="2"/>
  <c r="AJ49" i="2"/>
  <c r="AJ81" i="2"/>
  <c r="AJ78" i="2"/>
  <c r="AJ40" i="2"/>
  <c r="AJ31" i="2"/>
  <c r="AJ52" i="2"/>
  <c r="AJ64" i="2"/>
  <c r="AJ67" i="2"/>
  <c r="AJ37" i="2"/>
  <c r="AJ43" i="2"/>
  <c r="AJ34" i="2"/>
  <c r="AJ46" i="2"/>
  <c r="AJ28" i="2"/>
  <c r="AJ19" i="2"/>
  <c r="G291" i="2"/>
  <c r="G19" i="2" s="1"/>
  <c r="K291" i="2"/>
  <c r="AC77" i="2"/>
  <c r="AC78" i="2" s="1"/>
  <c r="AB73" i="2"/>
  <c r="AB70" i="2"/>
  <c r="AB58" i="2"/>
  <c r="AB81" i="2"/>
  <c r="AB78" i="2"/>
  <c r="AB67" i="2"/>
  <c r="AB64" i="2"/>
  <c r="AB55" i="2"/>
  <c r="AB49" i="2"/>
  <c r="AB61" i="2"/>
  <c r="AB46" i="2"/>
  <c r="AB31" i="2"/>
  <c r="AB37" i="2"/>
  <c r="AB43" i="2"/>
  <c r="AB34" i="2"/>
  <c r="AB52" i="2"/>
  <c r="AB40" i="2"/>
  <c r="AB28" i="2"/>
  <c r="AB19" i="2"/>
  <c r="O80" i="2"/>
  <c r="O81" i="2" s="1"/>
  <c r="O70" i="2"/>
  <c r="E283" i="2"/>
  <c r="I80" i="2"/>
  <c r="I81" i="2" s="1"/>
  <c r="I70" i="2"/>
  <c r="M78" i="2"/>
  <c r="M61" i="2"/>
  <c r="M55" i="2"/>
  <c r="M43" i="2"/>
  <c r="M81" i="2"/>
  <c r="M70" i="2"/>
  <c r="M67" i="2"/>
  <c r="M64" i="2"/>
  <c r="M49" i="2"/>
  <c r="M37" i="2"/>
  <c r="M73" i="2"/>
  <c r="M58" i="2"/>
  <c r="M52" i="2"/>
  <c r="M40" i="2"/>
  <c r="M46" i="2"/>
  <c r="M34" i="2"/>
  <c r="M28" i="2"/>
  <c r="M31" i="2"/>
  <c r="AD24" i="2"/>
  <c r="AD21" i="2"/>
  <c r="AD25" i="2"/>
  <c r="AD22" i="2"/>
  <c r="AD23" i="2" s="1"/>
  <c r="AF81" i="2"/>
  <c r="AF64" i="2"/>
  <c r="AF78" i="2"/>
  <c r="AF49" i="2"/>
  <c r="AF61" i="2"/>
  <c r="AF70" i="2"/>
  <c r="AF67" i="2"/>
  <c r="AF55" i="2"/>
  <c r="AF58" i="2"/>
  <c r="AF37" i="2"/>
  <c r="AF34" i="2"/>
  <c r="AF43" i="2"/>
  <c r="AF73" i="2"/>
  <c r="AF28" i="2"/>
  <c r="AF31" i="2"/>
  <c r="AF46" i="2"/>
  <c r="AF52" i="2"/>
  <c r="AF40" i="2"/>
  <c r="AL24" i="2"/>
  <c r="AL21" i="2"/>
  <c r="AL25" i="2"/>
  <c r="AL22" i="2"/>
  <c r="AL23" i="2" s="1"/>
  <c r="Z77" i="2"/>
  <c r="Z78" i="2" s="1"/>
  <c r="AK291" i="2"/>
  <c r="M291" i="2"/>
  <c r="P283" i="2"/>
  <c r="F291" i="2"/>
  <c r="F19" i="2" s="1"/>
  <c r="K73" i="2"/>
  <c r="K81" i="2"/>
  <c r="K78" i="2"/>
  <c r="K70" i="2"/>
  <c r="K58" i="2"/>
  <c r="K52" i="2"/>
  <c r="K46" i="2"/>
  <c r="K67" i="2"/>
  <c r="K64" i="2"/>
  <c r="K49" i="2"/>
  <c r="K37" i="2"/>
  <c r="K40" i="2"/>
  <c r="K31" i="2"/>
  <c r="K34" i="2"/>
  <c r="K55" i="2"/>
  <c r="K43" i="2"/>
  <c r="K28" i="2"/>
  <c r="K61" i="2"/>
  <c r="K19" i="2"/>
  <c r="AQ73" i="2"/>
  <c r="AQ81" i="2"/>
  <c r="AQ78" i="2"/>
  <c r="AQ70" i="2"/>
  <c r="AQ58" i="2"/>
  <c r="AQ52" i="2"/>
  <c r="AQ40" i="2"/>
  <c r="AQ46" i="2"/>
  <c r="AQ34" i="2"/>
  <c r="AQ67" i="2"/>
  <c r="AQ64" i="2"/>
  <c r="AQ49" i="2"/>
  <c r="AQ37" i="2"/>
  <c r="AQ61" i="2"/>
  <c r="AQ43" i="2"/>
  <c r="AQ31" i="2"/>
  <c r="AQ28" i="2"/>
  <c r="AQ55" i="2"/>
  <c r="AG80" i="2"/>
  <c r="AG81" i="2" s="1"/>
  <c r="AG70" i="2"/>
  <c r="Q25" i="2"/>
  <c r="Q22" i="2"/>
  <c r="Q23" i="2" s="1"/>
  <c r="Q24" i="2"/>
  <c r="Q21" i="2"/>
  <c r="X283" i="2"/>
  <c r="X19" i="2" s="1"/>
  <c r="AO80" i="2"/>
  <c r="AO81" i="2" s="1"/>
  <c r="AO70" i="2"/>
  <c r="E291" i="2"/>
  <c r="E19" i="2" l="1"/>
  <c r="I21" i="2"/>
  <c r="I25" i="2"/>
  <c r="I22" i="2"/>
  <c r="I23" i="2" s="1"/>
  <c r="I24" i="2"/>
  <c r="W19" i="2"/>
  <c r="AC22" i="2"/>
  <c r="AC23" i="2" s="1"/>
  <c r="AC24" i="2"/>
  <c r="AC21" i="2"/>
  <c r="AC25" i="2"/>
  <c r="G22" i="2"/>
  <c r="G23" i="2" s="1"/>
  <c r="G25" i="2"/>
  <c r="G24" i="2"/>
  <c r="G21" i="2"/>
  <c r="E25" i="2"/>
  <c r="E22" i="2"/>
  <c r="E23" i="2" s="1"/>
  <c r="E24" i="2"/>
  <c r="E21" i="2"/>
  <c r="X25" i="2"/>
  <c r="X22" i="2"/>
  <c r="X23" i="2" s="1"/>
  <c r="X24" i="2"/>
  <c r="X21" i="2"/>
  <c r="M22" i="2"/>
  <c r="M23" i="2" s="1"/>
  <c r="M25" i="2"/>
  <c r="M24" i="2"/>
  <c r="M21" i="2"/>
  <c r="AK21" i="2"/>
  <c r="AK22" i="2"/>
  <c r="AK23" i="2" s="1"/>
  <c r="AK24" i="2"/>
  <c r="AK25" i="2"/>
  <c r="T24" i="2"/>
  <c r="T21" i="2"/>
  <c r="T25" i="2"/>
  <c r="T22" i="2"/>
  <c r="T23" i="2" s="1"/>
  <c r="W25" i="2"/>
  <c r="W21" i="2"/>
  <c r="W24" i="2"/>
  <c r="W22" i="2"/>
  <c r="W23" i="2" s="1"/>
  <c r="S21" i="2"/>
  <c r="S25" i="2"/>
  <c r="S24" i="2"/>
  <c r="S22" i="2"/>
  <c r="S23" i="2" s="1"/>
  <c r="U24" i="2"/>
  <c r="U21" i="2"/>
  <c r="U25" i="2"/>
  <c r="U22" i="2"/>
  <c r="U23" i="2" s="1"/>
  <c r="AS22" i="2"/>
  <c r="AS23" i="2" s="1"/>
  <c r="AS25" i="2"/>
  <c r="AS24" i="2"/>
  <c r="AS21" i="2"/>
  <c r="K24" i="2"/>
  <c r="K21" i="2"/>
  <c r="K25" i="2"/>
  <c r="K22" i="2"/>
  <c r="K23" i="2" s="1"/>
  <c r="AJ22" i="2"/>
  <c r="AJ23" i="2" s="1"/>
  <c r="AJ25" i="2"/>
  <c r="AJ24" i="2"/>
  <c r="AJ21" i="2"/>
  <c r="AR24" i="2"/>
  <c r="AR21" i="2"/>
  <c r="AR22" i="2"/>
  <c r="AR23" i="2" s="1"/>
  <c r="AR25" i="2"/>
  <c r="AI21" i="2"/>
  <c r="AI25" i="2"/>
  <c r="AI24" i="2"/>
  <c r="AI22" i="2"/>
  <c r="AI23" i="2" s="1"/>
  <c r="F21" i="2"/>
  <c r="F25" i="2"/>
  <c r="F22" i="2"/>
  <c r="F23" i="2" s="1"/>
  <c r="F24" i="2"/>
  <c r="D25" i="2"/>
  <c r="D22" i="2"/>
  <c r="D23" i="2" s="1"/>
  <c r="D21" i="2"/>
  <c r="D24" i="2"/>
  <c r="AB25" i="2"/>
  <c r="AB24" i="2"/>
  <c r="AB21" i="2"/>
  <c r="AB22" i="2"/>
  <c r="AB23" i="2" s="1"/>
  <c r="AE25" i="2"/>
  <c r="AE24" i="2"/>
  <c r="AE21" i="2"/>
  <c r="AE22" i="2"/>
  <c r="AE23" i="2" s="1"/>
  <c r="C21" i="2"/>
  <c r="C24" i="2"/>
  <c r="C25" i="2"/>
  <c r="C22" i="2"/>
  <c r="C23" i="2" s="1"/>
  <c r="J25" i="2"/>
  <c r="J22" i="2"/>
  <c r="J23" i="2" s="1"/>
  <c r="J21" i="2"/>
  <c r="J24" i="2"/>
  <c r="P25" i="2"/>
  <c r="P22" i="2"/>
  <c r="P23" i="2" s="1"/>
  <c r="P24" i="2"/>
  <c r="P21" i="2"/>
  <c r="AA21" i="2"/>
  <c r="AA25" i="2"/>
  <c r="AA22" i="2"/>
  <c r="AA23" i="2" s="1"/>
  <c r="AA24" i="2"/>
  <c r="AF25" i="2"/>
  <c r="AF21" i="2"/>
  <c r="AF22" i="2"/>
  <c r="AF23" i="2" s="1"/>
  <c r="AF24" i="2"/>
  <c r="L25" i="2"/>
  <c r="L22" i="2"/>
  <c r="L23" i="2" s="1"/>
  <c r="L24" i="2"/>
  <c r="L21" i="2"/>
</calcChain>
</file>

<file path=xl/sharedStrings.xml><?xml version="1.0" encoding="utf-8"?>
<sst xmlns="http://schemas.openxmlformats.org/spreadsheetml/2006/main" count="361" uniqueCount="128">
  <si>
    <t>Algeria (Offline)</t>
  </si>
  <si>
    <t>Algeria</t>
  </si>
  <si>
    <t>Angola</t>
  </si>
  <si>
    <t>Australia</t>
  </si>
  <si>
    <t>Brunei</t>
  </si>
  <si>
    <t>Cameroon</t>
  </si>
  <si>
    <t>Egypt  (Offline)</t>
  </si>
  <si>
    <t>Egypt</t>
  </si>
  <si>
    <t>Equatorial Guinea</t>
  </si>
  <si>
    <t>Indonesia   (Offline)</t>
  </si>
  <si>
    <t>Indonesia</t>
  </si>
  <si>
    <t>Malaysia</t>
  </si>
  <si>
    <t>Nigeria</t>
  </si>
  <si>
    <t>Norway</t>
  </si>
  <si>
    <t>Oman</t>
  </si>
  <si>
    <t>Papau New Guinea</t>
  </si>
  <si>
    <t>Peru</t>
  </si>
  <si>
    <t>Qatar</t>
  </si>
  <si>
    <t>Russia</t>
  </si>
  <si>
    <t>Trinidad</t>
  </si>
  <si>
    <t>UAE</t>
  </si>
  <si>
    <t>USA      (Offline)</t>
  </si>
  <si>
    <t>USA</t>
  </si>
  <si>
    <t>Yemen   (Offline)</t>
  </si>
  <si>
    <t>Arzew</t>
  </si>
  <si>
    <t>Bethioua (GL1Z)</t>
  </si>
  <si>
    <t>Bethioua (GL2Z)</t>
  </si>
  <si>
    <t>Bethioua (GL3Z)</t>
  </si>
  <si>
    <t>Soyo</t>
  </si>
  <si>
    <t>Wheat-stone</t>
  </si>
  <si>
    <t>Gorgon</t>
  </si>
  <si>
    <t>NWS</t>
  </si>
  <si>
    <t>Pluto</t>
  </si>
  <si>
    <t>Ichthys</t>
  </si>
  <si>
    <t>Darwin</t>
  </si>
  <si>
    <t>QGC</t>
  </si>
  <si>
    <t>APLNG</t>
  </si>
  <si>
    <t>Gladstone</t>
  </si>
  <si>
    <t>BLNG (Lumut)</t>
  </si>
  <si>
    <t>O/S Kribi</t>
  </si>
  <si>
    <t>Damietta</t>
  </si>
  <si>
    <t>Idku</t>
  </si>
  <si>
    <t>EGLNG</t>
  </si>
  <si>
    <t>Arun</t>
  </si>
  <si>
    <t>Bontang</t>
  </si>
  <si>
    <t>Tangguh</t>
  </si>
  <si>
    <t>Donggi Senoro</t>
  </si>
  <si>
    <t>Bintulu</t>
  </si>
  <si>
    <t>FLNG         Kanowit</t>
  </si>
  <si>
    <t>Bonny Island</t>
  </si>
  <si>
    <t>Snohvit</t>
  </si>
  <si>
    <t>Qalhat</t>
  </si>
  <si>
    <t>PNG</t>
  </si>
  <si>
    <t>Peru LNG</t>
  </si>
  <si>
    <t>Qatargas Rich</t>
  </si>
  <si>
    <t>Qatargas Lean</t>
  </si>
  <si>
    <t>Sakhalin</t>
  </si>
  <si>
    <t>Yamal</t>
  </si>
  <si>
    <t>Atlantic LNG</t>
  </si>
  <si>
    <t xml:space="preserve">Das Island </t>
  </si>
  <si>
    <t>Kenai Alaska</t>
  </si>
  <si>
    <t xml:space="preserve">Cameron </t>
  </si>
  <si>
    <t>Corpus Christi</t>
  </si>
  <si>
    <t>Cove Point</t>
  </si>
  <si>
    <t>Freeport</t>
  </si>
  <si>
    <t>Sabine Pass</t>
  </si>
  <si>
    <t>Balhaf</t>
  </si>
  <si>
    <t>Methane</t>
  </si>
  <si>
    <t>Ethane</t>
  </si>
  <si>
    <t>Propane</t>
  </si>
  <si>
    <t>i-Butane</t>
  </si>
  <si>
    <t>n-Butane</t>
  </si>
  <si>
    <t>i-Pentane</t>
  </si>
  <si>
    <t>n-Pentane</t>
  </si>
  <si>
    <t>n-Hexane</t>
  </si>
  <si>
    <t>Nitrogen</t>
  </si>
  <si>
    <t>Carbon Dioxide</t>
  </si>
  <si>
    <t>Oxygen</t>
  </si>
  <si>
    <t>Total</t>
  </si>
  <si>
    <t>Molar Mass</t>
  </si>
  <si>
    <t>LNG Dens (-160°C)</t>
  </si>
  <si>
    <t>MMBtu at 0°C / Liquid CBM at -160°C</t>
  </si>
  <si>
    <t>MMBtu at 15°C / Liquid CBM at -160°C</t>
  </si>
  <si>
    <t>MMBtu at 60°F / Liquid CBM at -160°C</t>
  </si>
  <si>
    <t>MMBtu at 20°C / Liquid CBM at -160°C</t>
  </si>
  <si>
    <t>MMBtu at 25°C / Liquid CBM at -160°C</t>
  </si>
  <si>
    <t>GHV (BTU/SCF)</t>
  </si>
  <si>
    <t>60/60°F</t>
  </si>
  <si>
    <t>Wobbe Index</t>
  </si>
  <si>
    <t>LHV (BTU/SCF)</t>
  </si>
  <si>
    <t>Wobbe Index (mod)</t>
  </si>
  <si>
    <t>GHV (MJ/m3)</t>
  </si>
  <si>
    <t>0/0°C</t>
  </si>
  <si>
    <t xml:space="preserve">Wobbe Index </t>
  </si>
  <si>
    <t>LHV (MJ/m3)</t>
  </si>
  <si>
    <t>Wobbe Index  (mod)</t>
  </si>
  <si>
    <t>0/15°C</t>
  </si>
  <si>
    <t>15/0°C</t>
  </si>
  <si>
    <t>15/15°C</t>
  </si>
  <si>
    <t>20/20°C</t>
  </si>
  <si>
    <t>25/0°C</t>
  </si>
  <si>
    <t>25/20°C</t>
  </si>
  <si>
    <t xml:space="preserve">GHV (Btu/ft3) </t>
  </si>
  <si>
    <t>MOLAR MASS</t>
  </si>
  <si>
    <t>GHV (MJ/mol) 0</t>
  </si>
  <si>
    <t>LHV (MJ/mol) 0</t>
  </si>
  <si>
    <t>GHV (MJ/mol) 15</t>
  </si>
  <si>
    <t>LHV (MJ/mol) 15</t>
  </si>
  <si>
    <t>GHV (MJ/mol) 20</t>
  </si>
  <si>
    <t>LHV (MJ/mol) 20</t>
  </si>
  <si>
    <t>GHV (MJ/mol) 25</t>
  </si>
  <si>
    <t>LHV (MJ/mol) 25</t>
  </si>
  <si>
    <t>Vi TABLES</t>
  </si>
  <si>
    <t>K1 FACTOR</t>
  </si>
  <si>
    <t>K1 Value</t>
  </si>
  <si>
    <t>Average</t>
  </si>
  <si>
    <t>C1</t>
  </si>
  <si>
    <t>C2</t>
  </si>
  <si>
    <t>C3</t>
  </si>
  <si>
    <t>iC4</t>
  </si>
  <si>
    <t>nC4</t>
  </si>
  <si>
    <t>iC5</t>
  </si>
  <si>
    <t>nC5</t>
  </si>
  <si>
    <t>C6+</t>
  </si>
  <si>
    <t>N2</t>
  </si>
  <si>
    <t>CO2</t>
  </si>
  <si>
    <t>O2</t>
  </si>
  <si>
    <t>as of June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</si>
</sst>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000"/>
  </numFmts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6">
    <xf numFmtId="0" fontId="0" fillId="0" borderId="0" xfId="0"/>
    <xf numFmtId="14" fontId="1" fillId="0" borderId="0" xfId="0" applyNumberFormat="1" applyFont="1" applyAlignment="1">
      <alignment horizontal="left"/>
    </xf>
    <xf numFmtId="0" fontId="1" fillId="0" borderId="0" xfId="0" applyFont="1"/>
    <xf numFmtId="0" fontId="2" fillId="0" borderId="0" xfId="1" applyFill="1" applyBorder="1" applyAlignment="1">
      <alignment horizontal="center" vertical="center" wrapText="1"/>
    </xf>
    <xf numFmtId="0" fontId="2" fillId="2" borderId="1" xfId="1" applyFill="1" applyBorder="1" applyAlignment="1">
      <alignment horizontal="center" vertical="center" wrapText="1"/>
    </xf>
    <xf numFmtId="0" fontId="2" fillId="3" borderId="1" xfId="1" applyFill="1" applyBorder="1" applyAlignment="1">
      <alignment horizontal="center" vertical="center" wrapText="1"/>
    </xf>
    <xf numFmtId="0" fontId="2" fillId="2" borderId="2" xfId="1" applyFill="1" applyBorder="1" applyAlignment="1">
      <alignment horizontal="center" vertical="center" wrapText="1"/>
    </xf>
    <xf numFmtId="0" fontId="2" fillId="0" borderId="2" xfId="1" applyBorder="1" applyAlignment="1">
      <alignment horizontal="center" vertical="center" wrapText="1"/>
    </xf>
    <xf numFmtId="0" fontId="2" fillId="3" borderId="2" xfId="1" applyFill="1" applyBorder="1" applyAlignment="1">
      <alignment horizontal="center" vertical="center" wrapText="1"/>
    </xf>
    <xf numFmtId="0" fontId="2" fillId="0" borderId="2" xfId="1" applyFill="1" applyBorder="1" applyAlignment="1">
      <alignment horizontal="center" vertical="center" wrapText="1"/>
    </xf>
    <xf numFmtId="0" fontId="2" fillId="0" borderId="0" xfId="1" applyFill="1" applyBorder="1"/>
    <xf numFmtId="0" fontId="2" fillId="4" borderId="3" xfId="1" applyFill="1" applyBorder="1" applyAlignment="1">
      <alignment horizontal="center" vertical="center" wrapText="1"/>
    </xf>
    <xf numFmtId="0" fontId="2" fillId="4" borderId="4" xfId="1" applyFill="1" applyBorder="1" applyAlignment="1">
      <alignment horizontal="center" vertical="center" wrapText="1"/>
    </xf>
    <xf numFmtId="0" fontId="2" fillId="4" borderId="1" xfId="1" applyFill="1" applyBorder="1" applyAlignment="1">
      <alignment horizontal="center" vertical="center" wrapText="1"/>
    </xf>
    <xf numFmtId="0" fontId="1" fillId="2" borderId="1" xfId="1" applyNumberFormat="1" applyFont="1" applyFill="1" applyBorder="1" applyAlignment="1" applyProtection="1">
      <alignment horizontal="center" vertical="center" wrapText="1"/>
      <protection locked="0"/>
    </xf>
    <xf numFmtId="2" fontId="1" fillId="3" borderId="1" xfId="1" applyNumberFormat="1" applyFont="1" applyFill="1" applyBorder="1" applyAlignment="1" applyProtection="1">
      <alignment horizontal="center" vertical="center" wrapText="1"/>
      <protection locked="0"/>
    </xf>
    <xf numFmtId="0" fontId="1" fillId="3" borderId="1" xfId="1" applyNumberFormat="1" applyFont="1" applyFill="1" applyBorder="1" applyAlignment="1" applyProtection="1">
      <alignment horizontal="center" vertical="center" wrapText="1"/>
      <protection locked="0"/>
    </xf>
    <xf numFmtId="0" fontId="2" fillId="3" borderId="1" xfId="1" applyNumberFormat="1" applyFill="1" applyBorder="1" applyAlignment="1" applyProtection="1">
      <alignment horizontal="center" vertical="center" wrapText="1"/>
      <protection locked="0"/>
    </xf>
    <xf numFmtId="0" fontId="2" fillId="2" borderId="1" xfId="1" applyNumberFormat="1" applyFill="1" applyBorder="1" applyAlignment="1" applyProtection="1">
      <alignment horizontal="center" vertical="center" wrapText="1"/>
      <protection locked="0"/>
    </xf>
    <xf numFmtId="0" fontId="2" fillId="3" borderId="2" xfId="1" applyNumberFormat="1" applyFill="1" applyBorder="1" applyAlignment="1" applyProtection="1">
      <alignment horizontal="center" vertical="center" wrapText="1"/>
      <protection locked="0"/>
    </xf>
    <xf numFmtId="0" fontId="1" fillId="2" borderId="2" xfId="1" applyNumberFormat="1" applyFont="1" applyFill="1" applyBorder="1" applyAlignment="1" applyProtection="1">
      <alignment horizontal="center" vertical="center" wrapText="1"/>
      <protection locked="0"/>
    </xf>
    <xf numFmtId="0" fontId="1" fillId="0" borderId="2" xfId="1" applyNumberFormat="1" applyFont="1" applyFill="1" applyBorder="1" applyAlignment="1" applyProtection="1">
      <alignment horizontal="center" vertical="center" wrapText="1"/>
      <protection locked="0"/>
    </xf>
    <xf numFmtId="0" fontId="1" fillId="3" borderId="2" xfId="1" applyNumberFormat="1" applyFont="1" applyFill="1" applyBorder="1" applyAlignment="1" applyProtection="1">
      <alignment horizontal="center" vertical="center" wrapText="1"/>
      <protection locked="0"/>
    </xf>
    <xf numFmtId="2" fontId="1" fillId="3" borderId="2" xfId="1" applyNumberFormat="1" applyFont="1" applyFill="1" applyBorder="1" applyAlignment="1" applyProtection="1">
      <alignment horizontal="center" vertical="center" wrapText="1"/>
      <protection locked="0"/>
    </xf>
    <xf numFmtId="2" fontId="1" fillId="2" borderId="1" xfId="1" applyNumberFormat="1" applyFont="1" applyFill="1" applyBorder="1" applyAlignment="1" applyProtection="1">
      <alignment horizontal="center" vertical="center" wrapText="1"/>
      <protection locked="0"/>
    </xf>
    <xf numFmtId="2" fontId="2" fillId="3" borderId="2" xfId="1" applyNumberFormat="1" applyFill="1" applyBorder="1" applyAlignment="1" applyProtection="1">
      <alignment horizontal="center" vertical="center" wrapText="1"/>
      <protection locked="0"/>
    </xf>
    <xf numFmtId="0" fontId="1" fillId="0" borderId="1" xfId="1" applyNumberFormat="1" applyFont="1" applyFill="1" applyBorder="1" applyAlignment="1" applyProtection="1">
      <alignment horizontal="center" vertical="center" wrapText="1"/>
      <protection locked="0"/>
    </xf>
    <xf numFmtId="0" fontId="1" fillId="2" borderId="5" xfId="1" applyNumberFormat="1" applyFont="1" applyFill="1" applyBorder="1" applyAlignment="1" applyProtection="1">
      <alignment horizontal="center" vertical="center" wrapText="1"/>
      <protection locked="0"/>
    </xf>
    <xf numFmtId="0" fontId="1" fillId="3" borderId="5" xfId="1" applyNumberFormat="1" applyFont="1" applyFill="1" applyBorder="1" applyAlignment="1" applyProtection="1">
      <alignment horizontal="center" vertical="center" wrapText="1"/>
      <protection locked="0"/>
    </xf>
    <xf numFmtId="0" fontId="2" fillId="3" borderId="5" xfId="1" applyNumberFormat="1" applyFill="1" applyBorder="1" applyAlignment="1" applyProtection="1">
      <alignment horizontal="center" vertical="center" wrapText="1"/>
      <protection locked="0"/>
    </xf>
    <xf numFmtId="0" fontId="2" fillId="2" borderId="5" xfId="1" applyNumberFormat="1" applyFill="1" applyBorder="1" applyAlignment="1" applyProtection="1">
      <alignment horizontal="center" vertical="center" wrapText="1"/>
      <protection locked="0"/>
    </xf>
    <xf numFmtId="2" fontId="1" fillId="3" borderId="5" xfId="1" applyNumberFormat="1" applyFont="1" applyFill="1" applyBorder="1" applyAlignment="1" applyProtection="1">
      <alignment horizontal="center" vertical="center" wrapText="1"/>
      <protection locked="0"/>
    </xf>
    <xf numFmtId="0" fontId="2" fillId="3" borderId="6" xfId="1" applyNumberFormat="1" applyFill="1" applyBorder="1" applyAlignment="1" applyProtection="1">
      <alignment horizontal="center" vertical="center" wrapText="1"/>
      <protection locked="0"/>
    </xf>
    <xf numFmtId="0" fontId="1" fillId="2" borderId="6" xfId="1" applyNumberFormat="1" applyFont="1" applyFill="1" applyBorder="1" applyAlignment="1" applyProtection="1">
      <alignment horizontal="center" vertical="center" wrapText="1"/>
      <protection locked="0"/>
    </xf>
    <xf numFmtId="0" fontId="1" fillId="0" borderId="6" xfId="1" applyNumberFormat="1" applyFont="1" applyFill="1" applyBorder="1" applyAlignment="1" applyProtection="1">
      <alignment horizontal="center" vertical="center" wrapText="1"/>
      <protection locked="0"/>
    </xf>
    <xf numFmtId="0" fontId="1" fillId="3" borderId="6" xfId="1" applyNumberFormat="1" applyFont="1" applyFill="1" applyBorder="1" applyAlignment="1" applyProtection="1">
      <alignment horizontal="center" vertical="center" wrapText="1"/>
      <protection locked="0"/>
    </xf>
    <xf numFmtId="2" fontId="1" fillId="0" borderId="1" xfId="0" applyNumberFormat="1" applyFont="1" applyBorder="1" applyAlignment="1">
      <alignment horizontal="center"/>
    </xf>
    <xf numFmtId="0" fontId="1" fillId="5" borderId="0" xfId="0" applyFont="1" applyFill="1"/>
    <xf numFmtId="164" fontId="1" fillId="0" borderId="1" xfId="0" applyNumberFormat="1" applyFont="1" applyBorder="1" applyAlignment="1">
      <alignment horizontal="center"/>
    </xf>
    <xf numFmtId="0" fontId="1" fillId="6" borderId="0" xfId="0" applyFont="1" applyFill="1"/>
    <xf numFmtId="0" fontId="1" fillId="7" borderId="0" xfId="0" applyFont="1" applyFill="1"/>
    <xf numFmtId="165" fontId="1" fillId="0" borderId="1" xfId="0" applyNumberFormat="1" applyFont="1" applyBorder="1" applyAlignment="1">
      <alignment horizontal="center"/>
    </xf>
    <xf numFmtId="0" fontId="1" fillId="8" borderId="0" xfId="0" applyFont="1" applyFill="1"/>
    <xf numFmtId="2" fontId="1" fillId="0" borderId="0" xfId="0" applyNumberFormat="1" applyFont="1" applyAlignment="1">
      <alignment horizontal="center"/>
    </xf>
    <xf numFmtId="0" fontId="1" fillId="9" borderId="0" xfId="0" applyFont="1" applyFill="1"/>
    <xf numFmtId="0" fontId="1" fillId="10" borderId="0" xfId="0" applyFont="1" applyFill="1"/>
    <xf numFmtId="0" fontId="1" fillId="11" borderId="0" xfId="0" applyFont="1" applyFill="1"/>
    <xf numFmtId="0" fontId="1" fillId="12" borderId="0" xfId="0" applyFont="1" applyFill="1"/>
    <xf numFmtId="0" fontId="1" fillId="13" borderId="0" xfId="0" applyFont="1" applyFill="1"/>
    <xf numFmtId="2" fontId="1" fillId="0" borderId="0" xfId="0" applyNumberFormat="1" applyFont="1"/>
    <xf numFmtId="0" fontId="1" fillId="14" borderId="0" xfId="0" applyFont="1" applyFill="1"/>
    <xf numFmtId="0" fontId="1" fillId="15" borderId="0" xfId="0" applyFont="1" applyFill="1"/>
    <xf numFmtId="0" fontId="1" fillId="16" borderId="0" xfId="0" applyFont="1" applyFill="1"/>
    <xf numFmtId="0" fontId="1" fillId="17" borderId="0" xfId="0" applyFont="1" applyFill="1"/>
    <xf numFmtId="166" fontId="1" fillId="0" borderId="0" xfId="0" applyNumberFormat="1" applyFont="1"/>
    <xf numFmtId="164" fontId="1" fillId="0" borderId="0" xfId="0" applyNumberFormat="1" applyFont="1" applyAlignment="1">
      <alignment horizontal="right"/>
    </xf>
  </cellXfs>
  <cellStyles count="2">
    <cellStyle name=" _x0004_A_x0002_" xfId="1" xr:uid="{4118AEE3-D9CB-43FF-92B9-12F859317679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D298A-FE75-4752-AFB9-2B4011D9E32C}">
  <dimension ref="A1:AS291"/>
  <sheetViews>
    <sheetView tabSelected="1" zoomScale="130" zoomScaleNormal="130" workbookViewId="0">
      <pane xSplit="2" ySplit="17" topLeftCell="C18" activePane="bottomRight" state="frozen"/>
      <selection activeCell="AN84" sqref="AN84"/>
      <selection pane="topRight" activeCell="AN84" sqref="AN84"/>
      <selection pane="bottomLeft" activeCell="AN84" sqref="AN84"/>
      <selection pane="bottomRight" activeCell="C20" sqref="C20"/>
    </sheetView>
  </sheetViews>
  <sheetFormatPr defaultColWidth="9.08984375" defaultRowHeight="12.5" x14ac:dyDescent="0.25"/>
  <cols>
    <col min="1" max="1" width="20.6328125" style="2" customWidth="1"/>
    <col min="2" max="2" width="16.453125" style="2" customWidth="1"/>
    <col min="3" max="7" width="9.08984375" style="2"/>
    <col min="8" max="9" width="9.08984375" style="2" customWidth="1"/>
    <col min="10" max="11" width="9.08984375" style="2"/>
    <col min="12" max="12" width="9.08984375" style="2" customWidth="1"/>
    <col min="13" max="17" width="9.08984375" style="2"/>
    <col min="18" max="18" width="9.08984375" style="2" customWidth="1"/>
    <col min="19" max="37" width="9.08984375" style="2"/>
    <col min="38" max="38" width="9.08984375" style="2" customWidth="1"/>
    <col min="39" max="39" width="9.08984375" style="2"/>
    <col min="40" max="41" width="9.08984375" style="2" customWidth="1"/>
    <col min="42" max="42" width="9.08984375" style="2"/>
    <col min="43" max="43" width="9.08984375" style="2" customWidth="1"/>
    <col min="44" max="256" width="9.08984375" style="2"/>
    <col min="257" max="257" width="20.6328125" style="2" customWidth="1"/>
    <col min="258" max="258" width="16.453125" style="2" customWidth="1"/>
    <col min="259" max="512" width="9.08984375" style="2"/>
    <col min="513" max="513" width="20.6328125" style="2" customWidth="1"/>
    <col min="514" max="514" width="16.453125" style="2" customWidth="1"/>
    <col min="515" max="768" width="9.08984375" style="2"/>
    <col min="769" max="769" width="20.6328125" style="2" customWidth="1"/>
    <col min="770" max="770" width="16.453125" style="2" customWidth="1"/>
    <col min="771" max="1024" width="9.08984375" style="2"/>
    <col min="1025" max="1025" width="20.6328125" style="2" customWidth="1"/>
    <col min="1026" max="1026" width="16.453125" style="2" customWidth="1"/>
    <col min="1027" max="1280" width="9.08984375" style="2"/>
    <col min="1281" max="1281" width="20.6328125" style="2" customWidth="1"/>
    <col min="1282" max="1282" width="16.453125" style="2" customWidth="1"/>
    <col min="1283" max="1536" width="9.08984375" style="2"/>
    <col min="1537" max="1537" width="20.6328125" style="2" customWidth="1"/>
    <col min="1538" max="1538" width="16.453125" style="2" customWidth="1"/>
    <col min="1539" max="1792" width="9.08984375" style="2"/>
    <col min="1793" max="1793" width="20.6328125" style="2" customWidth="1"/>
    <col min="1794" max="1794" width="16.453125" style="2" customWidth="1"/>
    <col min="1795" max="2048" width="9.08984375" style="2"/>
    <col min="2049" max="2049" width="20.6328125" style="2" customWidth="1"/>
    <col min="2050" max="2050" width="16.453125" style="2" customWidth="1"/>
    <col min="2051" max="2304" width="9.08984375" style="2"/>
    <col min="2305" max="2305" width="20.6328125" style="2" customWidth="1"/>
    <col min="2306" max="2306" width="16.453125" style="2" customWidth="1"/>
    <col min="2307" max="2560" width="9.08984375" style="2"/>
    <col min="2561" max="2561" width="20.6328125" style="2" customWidth="1"/>
    <col min="2562" max="2562" width="16.453125" style="2" customWidth="1"/>
    <col min="2563" max="2816" width="9.08984375" style="2"/>
    <col min="2817" max="2817" width="20.6328125" style="2" customWidth="1"/>
    <col min="2818" max="2818" width="16.453125" style="2" customWidth="1"/>
    <col min="2819" max="3072" width="9.08984375" style="2"/>
    <col min="3073" max="3073" width="20.6328125" style="2" customWidth="1"/>
    <col min="3074" max="3074" width="16.453125" style="2" customWidth="1"/>
    <col min="3075" max="3328" width="9.08984375" style="2"/>
    <col min="3329" max="3329" width="20.6328125" style="2" customWidth="1"/>
    <col min="3330" max="3330" width="16.453125" style="2" customWidth="1"/>
    <col min="3331" max="3584" width="9.08984375" style="2"/>
    <col min="3585" max="3585" width="20.6328125" style="2" customWidth="1"/>
    <col min="3586" max="3586" width="16.453125" style="2" customWidth="1"/>
    <col min="3587" max="3840" width="9.08984375" style="2"/>
    <col min="3841" max="3841" width="20.6328125" style="2" customWidth="1"/>
    <col min="3842" max="3842" width="16.453125" style="2" customWidth="1"/>
    <col min="3843" max="4096" width="9.08984375" style="2"/>
    <col min="4097" max="4097" width="20.6328125" style="2" customWidth="1"/>
    <col min="4098" max="4098" width="16.453125" style="2" customWidth="1"/>
    <col min="4099" max="4352" width="9.08984375" style="2"/>
    <col min="4353" max="4353" width="20.6328125" style="2" customWidth="1"/>
    <col min="4354" max="4354" width="16.453125" style="2" customWidth="1"/>
    <col min="4355" max="4608" width="9.08984375" style="2"/>
    <col min="4609" max="4609" width="20.6328125" style="2" customWidth="1"/>
    <col min="4610" max="4610" width="16.453125" style="2" customWidth="1"/>
    <col min="4611" max="4864" width="9.08984375" style="2"/>
    <col min="4865" max="4865" width="20.6328125" style="2" customWidth="1"/>
    <col min="4866" max="4866" width="16.453125" style="2" customWidth="1"/>
    <col min="4867" max="5120" width="9.08984375" style="2"/>
    <col min="5121" max="5121" width="20.6328125" style="2" customWidth="1"/>
    <col min="5122" max="5122" width="16.453125" style="2" customWidth="1"/>
    <col min="5123" max="5376" width="9.08984375" style="2"/>
    <col min="5377" max="5377" width="20.6328125" style="2" customWidth="1"/>
    <col min="5378" max="5378" width="16.453125" style="2" customWidth="1"/>
    <col min="5379" max="5632" width="9.08984375" style="2"/>
    <col min="5633" max="5633" width="20.6328125" style="2" customWidth="1"/>
    <col min="5634" max="5634" width="16.453125" style="2" customWidth="1"/>
    <col min="5635" max="5888" width="9.08984375" style="2"/>
    <col min="5889" max="5889" width="20.6328125" style="2" customWidth="1"/>
    <col min="5890" max="5890" width="16.453125" style="2" customWidth="1"/>
    <col min="5891" max="6144" width="9.08984375" style="2"/>
    <col min="6145" max="6145" width="20.6328125" style="2" customWidth="1"/>
    <col min="6146" max="6146" width="16.453125" style="2" customWidth="1"/>
    <col min="6147" max="6400" width="9.08984375" style="2"/>
    <col min="6401" max="6401" width="20.6328125" style="2" customWidth="1"/>
    <col min="6402" max="6402" width="16.453125" style="2" customWidth="1"/>
    <col min="6403" max="6656" width="9.08984375" style="2"/>
    <col min="6657" max="6657" width="20.6328125" style="2" customWidth="1"/>
    <col min="6658" max="6658" width="16.453125" style="2" customWidth="1"/>
    <col min="6659" max="6912" width="9.08984375" style="2"/>
    <col min="6913" max="6913" width="20.6328125" style="2" customWidth="1"/>
    <col min="6914" max="6914" width="16.453125" style="2" customWidth="1"/>
    <col min="6915" max="7168" width="9.08984375" style="2"/>
    <col min="7169" max="7169" width="20.6328125" style="2" customWidth="1"/>
    <col min="7170" max="7170" width="16.453125" style="2" customWidth="1"/>
    <col min="7171" max="7424" width="9.08984375" style="2"/>
    <col min="7425" max="7425" width="20.6328125" style="2" customWidth="1"/>
    <col min="7426" max="7426" width="16.453125" style="2" customWidth="1"/>
    <col min="7427" max="7680" width="9.08984375" style="2"/>
    <col min="7681" max="7681" width="20.6328125" style="2" customWidth="1"/>
    <col min="7682" max="7682" width="16.453125" style="2" customWidth="1"/>
    <col min="7683" max="7936" width="9.08984375" style="2"/>
    <col min="7937" max="7937" width="20.6328125" style="2" customWidth="1"/>
    <col min="7938" max="7938" width="16.453125" style="2" customWidth="1"/>
    <col min="7939" max="8192" width="9.08984375" style="2"/>
    <col min="8193" max="8193" width="20.6328125" style="2" customWidth="1"/>
    <col min="8194" max="8194" width="16.453125" style="2" customWidth="1"/>
    <col min="8195" max="8448" width="9.08984375" style="2"/>
    <col min="8449" max="8449" width="20.6328125" style="2" customWidth="1"/>
    <col min="8450" max="8450" width="16.453125" style="2" customWidth="1"/>
    <col min="8451" max="8704" width="9.08984375" style="2"/>
    <col min="8705" max="8705" width="20.6328125" style="2" customWidth="1"/>
    <col min="8706" max="8706" width="16.453125" style="2" customWidth="1"/>
    <col min="8707" max="8960" width="9.08984375" style="2"/>
    <col min="8961" max="8961" width="20.6328125" style="2" customWidth="1"/>
    <col min="8962" max="8962" width="16.453125" style="2" customWidth="1"/>
    <col min="8963" max="9216" width="9.08984375" style="2"/>
    <col min="9217" max="9217" width="20.6328125" style="2" customWidth="1"/>
    <col min="9218" max="9218" width="16.453125" style="2" customWidth="1"/>
    <col min="9219" max="9472" width="9.08984375" style="2"/>
    <col min="9473" max="9473" width="20.6328125" style="2" customWidth="1"/>
    <col min="9474" max="9474" width="16.453125" style="2" customWidth="1"/>
    <col min="9475" max="9728" width="9.08984375" style="2"/>
    <col min="9729" max="9729" width="20.6328125" style="2" customWidth="1"/>
    <col min="9730" max="9730" width="16.453125" style="2" customWidth="1"/>
    <col min="9731" max="9984" width="9.08984375" style="2"/>
    <col min="9985" max="9985" width="20.6328125" style="2" customWidth="1"/>
    <col min="9986" max="9986" width="16.453125" style="2" customWidth="1"/>
    <col min="9987" max="10240" width="9.08984375" style="2"/>
    <col min="10241" max="10241" width="20.6328125" style="2" customWidth="1"/>
    <col min="10242" max="10242" width="16.453125" style="2" customWidth="1"/>
    <col min="10243" max="10496" width="9.08984375" style="2"/>
    <col min="10497" max="10497" width="20.6328125" style="2" customWidth="1"/>
    <col min="10498" max="10498" width="16.453125" style="2" customWidth="1"/>
    <col min="10499" max="10752" width="9.08984375" style="2"/>
    <col min="10753" max="10753" width="20.6328125" style="2" customWidth="1"/>
    <col min="10754" max="10754" width="16.453125" style="2" customWidth="1"/>
    <col min="10755" max="11008" width="9.08984375" style="2"/>
    <col min="11009" max="11009" width="20.6328125" style="2" customWidth="1"/>
    <col min="11010" max="11010" width="16.453125" style="2" customWidth="1"/>
    <col min="11011" max="11264" width="9.08984375" style="2"/>
    <col min="11265" max="11265" width="20.6328125" style="2" customWidth="1"/>
    <col min="11266" max="11266" width="16.453125" style="2" customWidth="1"/>
    <col min="11267" max="11520" width="9.08984375" style="2"/>
    <col min="11521" max="11521" width="20.6328125" style="2" customWidth="1"/>
    <col min="11522" max="11522" width="16.453125" style="2" customWidth="1"/>
    <col min="11523" max="11776" width="9.08984375" style="2"/>
    <col min="11777" max="11777" width="20.6328125" style="2" customWidth="1"/>
    <col min="11778" max="11778" width="16.453125" style="2" customWidth="1"/>
    <col min="11779" max="12032" width="9.08984375" style="2"/>
    <col min="12033" max="12033" width="20.6328125" style="2" customWidth="1"/>
    <col min="12034" max="12034" width="16.453125" style="2" customWidth="1"/>
    <col min="12035" max="12288" width="9.08984375" style="2"/>
    <col min="12289" max="12289" width="20.6328125" style="2" customWidth="1"/>
    <col min="12290" max="12290" width="16.453125" style="2" customWidth="1"/>
    <col min="12291" max="12544" width="9.08984375" style="2"/>
    <col min="12545" max="12545" width="20.6328125" style="2" customWidth="1"/>
    <col min="12546" max="12546" width="16.453125" style="2" customWidth="1"/>
    <col min="12547" max="12800" width="9.08984375" style="2"/>
    <col min="12801" max="12801" width="20.6328125" style="2" customWidth="1"/>
    <col min="12802" max="12802" width="16.453125" style="2" customWidth="1"/>
    <col min="12803" max="13056" width="9.08984375" style="2"/>
    <col min="13057" max="13057" width="20.6328125" style="2" customWidth="1"/>
    <col min="13058" max="13058" width="16.453125" style="2" customWidth="1"/>
    <col min="13059" max="13312" width="9.08984375" style="2"/>
    <col min="13313" max="13313" width="20.6328125" style="2" customWidth="1"/>
    <col min="13314" max="13314" width="16.453125" style="2" customWidth="1"/>
    <col min="13315" max="13568" width="9.08984375" style="2"/>
    <col min="13569" max="13569" width="20.6328125" style="2" customWidth="1"/>
    <col min="13570" max="13570" width="16.453125" style="2" customWidth="1"/>
    <col min="13571" max="13824" width="9.08984375" style="2"/>
    <col min="13825" max="13825" width="20.6328125" style="2" customWidth="1"/>
    <col min="13826" max="13826" width="16.453125" style="2" customWidth="1"/>
    <col min="13827" max="14080" width="9.08984375" style="2"/>
    <col min="14081" max="14081" width="20.6328125" style="2" customWidth="1"/>
    <col min="14082" max="14082" width="16.453125" style="2" customWidth="1"/>
    <col min="14083" max="14336" width="9.08984375" style="2"/>
    <col min="14337" max="14337" width="20.6328125" style="2" customWidth="1"/>
    <col min="14338" max="14338" width="16.453125" style="2" customWidth="1"/>
    <col min="14339" max="14592" width="9.08984375" style="2"/>
    <col min="14593" max="14593" width="20.6328125" style="2" customWidth="1"/>
    <col min="14594" max="14594" width="16.453125" style="2" customWidth="1"/>
    <col min="14595" max="14848" width="9.08984375" style="2"/>
    <col min="14849" max="14849" width="20.6328125" style="2" customWidth="1"/>
    <col min="14850" max="14850" width="16.453125" style="2" customWidth="1"/>
    <col min="14851" max="15104" width="9.08984375" style="2"/>
    <col min="15105" max="15105" width="20.6328125" style="2" customWidth="1"/>
    <col min="15106" max="15106" width="16.453125" style="2" customWidth="1"/>
    <col min="15107" max="15360" width="9.08984375" style="2"/>
    <col min="15361" max="15361" width="20.6328125" style="2" customWidth="1"/>
    <col min="15362" max="15362" width="16.453125" style="2" customWidth="1"/>
    <col min="15363" max="15616" width="9.08984375" style="2"/>
    <col min="15617" max="15617" width="20.6328125" style="2" customWidth="1"/>
    <col min="15618" max="15618" width="16.453125" style="2" customWidth="1"/>
    <col min="15619" max="15872" width="9.08984375" style="2"/>
    <col min="15873" max="15873" width="20.6328125" style="2" customWidth="1"/>
    <col min="15874" max="15874" width="16.453125" style="2" customWidth="1"/>
    <col min="15875" max="16128" width="9.08984375" style="2"/>
    <col min="16129" max="16129" width="20.6328125" style="2" customWidth="1"/>
    <col min="16130" max="16130" width="16.453125" style="2" customWidth="1"/>
    <col min="16131" max="16384" width="9.08984375" style="2"/>
  </cols>
  <sheetData>
    <row r="1" spans="1:45" x14ac:dyDescent="0.25">
      <c r="A1" s="1" t="s">
        <v>127</v>
      </c>
      <c r="B1" s="1"/>
    </row>
    <row r="3" spans="1:45" s="3" customFormat="1" ht="39.9" customHeight="1" x14ac:dyDescent="0.35">
      <c r="C3" s="4" t="s">
        <v>0</v>
      </c>
      <c r="D3" s="5" t="s">
        <v>1</v>
      </c>
      <c r="E3" s="5" t="s">
        <v>1</v>
      </c>
      <c r="F3" s="5" t="s">
        <v>1</v>
      </c>
      <c r="G3" s="5" t="s">
        <v>2</v>
      </c>
      <c r="H3" s="5" t="s">
        <v>3</v>
      </c>
      <c r="I3" s="5" t="s">
        <v>3</v>
      </c>
      <c r="J3" s="5" t="s">
        <v>3</v>
      </c>
      <c r="K3" s="5" t="s">
        <v>3</v>
      </c>
      <c r="L3" s="5" t="s">
        <v>3</v>
      </c>
      <c r="M3" s="5" t="s">
        <v>3</v>
      </c>
      <c r="N3" s="5" t="s">
        <v>3</v>
      </c>
      <c r="O3" s="5" t="s">
        <v>3</v>
      </c>
      <c r="P3" s="5" t="s">
        <v>3</v>
      </c>
      <c r="Q3" s="5" t="s">
        <v>4</v>
      </c>
      <c r="R3" s="5" t="s">
        <v>5</v>
      </c>
      <c r="S3" s="4" t="s">
        <v>6</v>
      </c>
      <c r="T3" s="5" t="s">
        <v>7</v>
      </c>
      <c r="U3" s="5" t="s">
        <v>8</v>
      </c>
      <c r="V3" s="4" t="s">
        <v>9</v>
      </c>
      <c r="W3" s="5" t="s">
        <v>10</v>
      </c>
      <c r="X3" s="5" t="s">
        <v>10</v>
      </c>
      <c r="Y3" s="5" t="s">
        <v>10</v>
      </c>
      <c r="Z3" s="5" t="s">
        <v>11</v>
      </c>
      <c r="AA3" s="5" t="s">
        <v>11</v>
      </c>
      <c r="AB3" s="5" t="s">
        <v>12</v>
      </c>
      <c r="AC3" s="5" t="s">
        <v>13</v>
      </c>
      <c r="AD3" s="5" t="s">
        <v>14</v>
      </c>
      <c r="AE3" s="5" t="s">
        <v>15</v>
      </c>
      <c r="AF3" s="5" t="s">
        <v>16</v>
      </c>
      <c r="AG3" s="5" t="s">
        <v>17</v>
      </c>
      <c r="AH3" s="5" t="s">
        <v>17</v>
      </c>
      <c r="AI3" s="5" t="s">
        <v>18</v>
      </c>
      <c r="AJ3" s="5" t="s">
        <v>18</v>
      </c>
      <c r="AK3" s="5" t="s">
        <v>19</v>
      </c>
      <c r="AL3" s="5" t="s">
        <v>20</v>
      </c>
      <c r="AM3" s="6" t="s">
        <v>21</v>
      </c>
      <c r="AN3" s="7" t="s">
        <v>22</v>
      </c>
      <c r="AO3" s="8" t="s">
        <v>22</v>
      </c>
      <c r="AP3" s="8" t="s">
        <v>22</v>
      </c>
      <c r="AQ3" s="9" t="s">
        <v>22</v>
      </c>
      <c r="AR3" s="8" t="s">
        <v>22</v>
      </c>
      <c r="AS3" s="4" t="s">
        <v>23</v>
      </c>
    </row>
    <row r="4" spans="1:45" s="10" customFormat="1" ht="39.9" customHeight="1" x14ac:dyDescent="0.25">
      <c r="C4" s="11" t="s">
        <v>24</v>
      </c>
      <c r="D4" s="11" t="s">
        <v>25</v>
      </c>
      <c r="E4" s="11" t="s">
        <v>26</v>
      </c>
      <c r="F4" s="11" t="s">
        <v>27</v>
      </c>
      <c r="G4" s="11" t="s">
        <v>28</v>
      </c>
      <c r="H4" s="11" t="s">
        <v>29</v>
      </c>
      <c r="I4" s="11" t="s">
        <v>30</v>
      </c>
      <c r="J4" s="11" t="s">
        <v>31</v>
      </c>
      <c r="K4" s="11" t="s">
        <v>32</v>
      </c>
      <c r="L4" s="12" t="s">
        <v>33</v>
      </c>
      <c r="M4" s="11" t="s">
        <v>34</v>
      </c>
      <c r="N4" s="11" t="s">
        <v>35</v>
      </c>
      <c r="O4" s="11" t="s">
        <v>36</v>
      </c>
      <c r="P4" s="11" t="s">
        <v>37</v>
      </c>
      <c r="Q4" s="11" t="s">
        <v>38</v>
      </c>
      <c r="R4" s="11" t="s">
        <v>39</v>
      </c>
      <c r="S4" s="11" t="s">
        <v>40</v>
      </c>
      <c r="T4" s="11" t="s">
        <v>41</v>
      </c>
      <c r="U4" s="11" t="s">
        <v>42</v>
      </c>
      <c r="V4" s="11" t="s">
        <v>43</v>
      </c>
      <c r="W4" s="11" t="s">
        <v>44</v>
      </c>
      <c r="X4" s="11" t="s">
        <v>45</v>
      </c>
      <c r="Y4" s="11" t="s">
        <v>46</v>
      </c>
      <c r="Z4" s="11" t="s">
        <v>47</v>
      </c>
      <c r="AA4" s="11" t="s">
        <v>48</v>
      </c>
      <c r="AB4" s="13" t="s">
        <v>49</v>
      </c>
      <c r="AC4" s="11" t="s">
        <v>50</v>
      </c>
      <c r="AD4" s="11" t="s">
        <v>51</v>
      </c>
      <c r="AE4" s="11" t="s">
        <v>52</v>
      </c>
      <c r="AF4" s="11" t="s">
        <v>53</v>
      </c>
      <c r="AG4" s="11" t="s">
        <v>54</v>
      </c>
      <c r="AH4" s="11" t="s">
        <v>55</v>
      </c>
      <c r="AI4" s="11" t="s">
        <v>56</v>
      </c>
      <c r="AJ4" s="11" t="s">
        <v>57</v>
      </c>
      <c r="AK4" s="11" t="s">
        <v>58</v>
      </c>
      <c r="AL4" s="11" t="s">
        <v>59</v>
      </c>
      <c r="AM4" s="12" t="s">
        <v>60</v>
      </c>
      <c r="AN4" s="12" t="s">
        <v>61</v>
      </c>
      <c r="AO4" s="12" t="s">
        <v>62</v>
      </c>
      <c r="AP4" s="12" t="s">
        <v>63</v>
      </c>
      <c r="AQ4" s="12" t="s">
        <v>64</v>
      </c>
      <c r="AR4" s="12" t="s">
        <v>65</v>
      </c>
      <c r="AS4" s="11" t="s">
        <v>66</v>
      </c>
    </row>
    <row r="5" spans="1:45" x14ac:dyDescent="0.25">
      <c r="A5" s="2" t="s">
        <v>67</v>
      </c>
      <c r="C5" s="14">
        <v>89.66</v>
      </c>
      <c r="D5" s="15">
        <v>88.7</v>
      </c>
      <c r="E5" s="15">
        <v>91.3</v>
      </c>
      <c r="F5" s="15">
        <v>91.68</v>
      </c>
      <c r="G5" s="16">
        <v>91.69</v>
      </c>
      <c r="H5" s="16">
        <v>92.36</v>
      </c>
      <c r="I5" s="16">
        <v>94.58</v>
      </c>
      <c r="J5" s="15">
        <v>88.6</v>
      </c>
      <c r="K5" s="16">
        <v>92.56</v>
      </c>
      <c r="L5" s="15">
        <v>85.53</v>
      </c>
      <c r="M5" s="15">
        <v>88.16</v>
      </c>
      <c r="N5" s="16">
        <v>99.8</v>
      </c>
      <c r="O5" s="15">
        <v>99.8</v>
      </c>
      <c r="P5" s="16">
        <v>99.83</v>
      </c>
      <c r="Q5" s="16">
        <v>91.84</v>
      </c>
      <c r="R5" s="17">
        <v>92.87</v>
      </c>
      <c r="S5" s="18">
        <v>97.24</v>
      </c>
      <c r="T5" s="16">
        <v>97.17</v>
      </c>
      <c r="U5" s="15">
        <v>93.39</v>
      </c>
      <c r="V5" s="14">
        <v>91.86</v>
      </c>
      <c r="W5" s="16">
        <v>93.8</v>
      </c>
      <c r="X5" s="16">
        <v>96.7</v>
      </c>
      <c r="Y5" s="16">
        <v>92.46</v>
      </c>
      <c r="Z5" s="16">
        <v>92.31</v>
      </c>
      <c r="AA5" s="16">
        <v>90.31</v>
      </c>
      <c r="AB5" s="16">
        <v>92.33</v>
      </c>
      <c r="AC5" s="16">
        <v>91.98</v>
      </c>
      <c r="AD5" s="16">
        <v>90.74</v>
      </c>
      <c r="AE5" s="15">
        <v>87.710000000000008</v>
      </c>
      <c r="AF5" s="16">
        <v>90.04</v>
      </c>
      <c r="AG5" s="16">
        <v>90.07</v>
      </c>
      <c r="AH5" s="15">
        <v>93.3</v>
      </c>
      <c r="AI5" s="19">
        <v>92.47</v>
      </c>
      <c r="AJ5" s="19">
        <v>94.78</v>
      </c>
      <c r="AK5" s="17">
        <v>98.12</v>
      </c>
      <c r="AL5" s="16">
        <v>86.789999999999992</v>
      </c>
      <c r="AM5" s="20">
        <v>99.74</v>
      </c>
      <c r="AN5" s="21"/>
      <c r="AO5" s="22">
        <v>97.36</v>
      </c>
      <c r="AP5" s="23">
        <v>94</v>
      </c>
      <c r="AQ5" s="21"/>
      <c r="AR5" s="22">
        <v>95.75</v>
      </c>
      <c r="AS5" s="14">
        <v>93.11</v>
      </c>
    </row>
    <row r="6" spans="1:45" x14ac:dyDescent="0.25">
      <c r="A6" s="2" t="s">
        <v>68</v>
      </c>
      <c r="C6" s="14">
        <v>8.48</v>
      </c>
      <c r="D6" s="16">
        <v>8.34</v>
      </c>
      <c r="E6" s="16">
        <v>7.21</v>
      </c>
      <c r="F6" s="16">
        <v>7.97</v>
      </c>
      <c r="G6" s="16">
        <v>8.11</v>
      </c>
      <c r="H6" s="16">
        <v>4.88</v>
      </c>
      <c r="I6" s="15">
        <v>3.83</v>
      </c>
      <c r="J6" s="16">
        <v>7.62</v>
      </c>
      <c r="K6" s="16">
        <v>4.7</v>
      </c>
      <c r="L6" s="16">
        <v>12.82</v>
      </c>
      <c r="M6" s="16">
        <v>9.39</v>
      </c>
      <c r="N6" s="16">
        <v>0.06</v>
      </c>
      <c r="O6" s="16">
        <v>0.03</v>
      </c>
      <c r="P6" s="16">
        <v>0.05</v>
      </c>
      <c r="Q6" s="16">
        <v>4.4800000000000004</v>
      </c>
      <c r="R6" s="17">
        <v>3.88</v>
      </c>
      <c r="S6" s="18">
        <v>2.46</v>
      </c>
      <c r="T6" s="16">
        <v>2.08</v>
      </c>
      <c r="U6" s="16">
        <v>6.52</v>
      </c>
      <c r="V6" s="24">
        <v>5.66</v>
      </c>
      <c r="W6" s="15">
        <v>3.1</v>
      </c>
      <c r="X6" s="16">
        <v>2.29</v>
      </c>
      <c r="Y6" s="16">
        <v>4.05</v>
      </c>
      <c r="Z6" s="16">
        <v>4.04</v>
      </c>
      <c r="AA6" s="16">
        <v>5.35</v>
      </c>
      <c r="AB6" s="16">
        <v>5.08</v>
      </c>
      <c r="AC6" s="16">
        <v>5.57</v>
      </c>
      <c r="AD6" s="16">
        <v>5.61</v>
      </c>
      <c r="AE6" s="16">
        <v>7.82</v>
      </c>
      <c r="AF6" s="16">
        <v>9.16</v>
      </c>
      <c r="AG6" s="16">
        <v>6.25</v>
      </c>
      <c r="AH6" s="15">
        <v>6.25</v>
      </c>
      <c r="AI6" s="19">
        <v>4.47</v>
      </c>
      <c r="AJ6" s="19">
        <v>3.56</v>
      </c>
      <c r="AK6" s="17">
        <v>1.54</v>
      </c>
      <c r="AL6" s="16">
        <v>10.81</v>
      </c>
      <c r="AM6" s="20">
        <v>0.08</v>
      </c>
      <c r="AN6" s="21"/>
      <c r="AO6" s="22">
        <v>2.4300000000000002</v>
      </c>
      <c r="AP6" s="22">
        <v>5.68</v>
      </c>
      <c r="AQ6" s="21"/>
      <c r="AR6" s="22">
        <v>3.92</v>
      </c>
      <c r="AS6" s="24">
        <v>6</v>
      </c>
    </row>
    <row r="7" spans="1:45" x14ac:dyDescent="0.25">
      <c r="A7" s="2" t="s">
        <v>69</v>
      </c>
      <c r="C7" s="14">
        <v>1.27</v>
      </c>
      <c r="D7" s="16">
        <v>1.69</v>
      </c>
      <c r="E7" s="16">
        <v>0.8</v>
      </c>
      <c r="F7" s="16">
        <v>0.01</v>
      </c>
      <c r="G7" s="16">
        <v>0.14000000000000001</v>
      </c>
      <c r="H7" s="16">
        <v>1.83</v>
      </c>
      <c r="I7" s="15">
        <v>0.92</v>
      </c>
      <c r="J7" s="16">
        <v>2.8</v>
      </c>
      <c r="K7" s="16">
        <v>1.67</v>
      </c>
      <c r="L7" s="16">
        <v>1.46</v>
      </c>
      <c r="M7" s="16">
        <v>2</v>
      </c>
      <c r="N7" s="16">
        <v>0.01</v>
      </c>
      <c r="O7" s="16">
        <v>0</v>
      </c>
      <c r="P7" s="16">
        <v>0</v>
      </c>
      <c r="Q7" s="16">
        <v>2.4</v>
      </c>
      <c r="R7" s="17">
        <v>2.3199999999999998</v>
      </c>
      <c r="S7" s="18">
        <v>0.16</v>
      </c>
      <c r="T7" s="16">
        <v>0.43</v>
      </c>
      <c r="U7" s="16">
        <v>0.08</v>
      </c>
      <c r="V7" s="24">
        <v>1.6</v>
      </c>
      <c r="W7" s="15">
        <v>1.97</v>
      </c>
      <c r="X7" s="16">
        <v>0.48</v>
      </c>
      <c r="Y7" s="16">
        <v>1.97</v>
      </c>
      <c r="Z7" s="16">
        <v>2.33</v>
      </c>
      <c r="AA7" s="16">
        <v>3.21</v>
      </c>
      <c r="AB7" s="15">
        <v>1.9</v>
      </c>
      <c r="AC7" s="16">
        <v>1.26</v>
      </c>
      <c r="AD7" s="16">
        <v>2.11</v>
      </c>
      <c r="AE7" s="16">
        <v>2.87</v>
      </c>
      <c r="AF7" s="15">
        <v>0.1</v>
      </c>
      <c r="AG7" s="16">
        <v>2.16</v>
      </c>
      <c r="AH7" s="16">
        <v>0.05</v>
      </c>
      <c r="AI7" s="19">
        <v>2.0299999999999998</v>
      </c>
      <c r="AJ7" s="19">
        <v>0.87</v>
      </c>
      <c r="AK7" s="17">
        <v>0.28000000000000003</v>
      </c>
      <c r="AL7" s="16">
        <v>1.71</v>
      </c>
      <c r="AM7" s="20">
        <v>0.01</v>
      </c>
      <c r="AN7" s="21"/>
      <c r="AO7" s="22">
        <v>0.12</v>
      </c>
      <c r="AP7" s="22">
        <v>0.18</v>
      </c>
      <c r="AQ7" s="21"/>
      <c r="AR7" s="22">
        <v>0.2</v>
      </c>
      <c r="AS7" s="14">
        <v>0.79</v>
      </c>
    </row>
    <row r="8" spans="1:45" x14ac:dyDescent="0.25">
      <c r="A8" s="2" t="s">
        <v>70</v>
      </c>
      <c r="C8" s="14">
        <v>0.05</v>
      </c>
      <c r="D8" s="16">
        <v>0.2</v>
      </c>
      <c r="E8" s="16">
        <v>0.02</v>
      </c>
      <c r="F8" s="16">
        <v>0</v>
      </c>
      <c r="G8" s="16">
        <v>0</v>
      </c>
      <c r="H8" s="16">
        <v>0.36</v>
      </c>
      <c r="I8" s="16">
        <v>0.19</v>
      </c>
      <c r="J8" s="16">
        <v>0.36</v>
      </c>
      <c r="K8" s="16">
        <v>0.32</v>
      </c>
      <c r="L8" s="16">
        <v>0.04</v>
      </c>
      <c r="M8" s="16">
        <v>0.16</v>
      </c>
      <c r="N8" s="16">
        <v>0</v>
      </c>
      <c r="O8" s="16">
        <v>0</v>
      </c>
      <c r="P8" s="16">
        <v>0</v>
      </c>
      <c r="Q8" s="15">
        <v>0.5</v>
      </c>
      <c r="R8" s="17">
        <v>0.26</v>
      </c>
      <c r="S8" s="18">
        <v>0.06</v>
      </c>
      <c r="T8" s="16">
        <v>0.19</v>
      </c>
      <c r="U8" s="16">
        <v>0</v>
      </c>
      <c r="V8" s="14">
        <v>0.42</v>
      </c>
      <c r="W8" s="16">
        <v>0.49</v>
      </c>
      <c r="X8" s="16">
        <v>0.09</v>
      </c>
      <c r="Y8" s="16">
        <v>0.52</v>
      </c>
      <c r="Z8" s="16">
        <v>0.54</v>
      </c>
      <c r="AA8" s="16">
        <v>0.59</v>
      </c>
      <c r="AB8" s="16">
        <v>0.33</v>
      </c>
      <c r="AC8" s="16">
        <v>0.12</v>
      </c>
      <c r="AD8" s="16">
        <v>0.65</v>
      </c>
      <c r="AE8" s="16">
        <v>0.53</v>
      </c>
      <c r="AF8" s="16">
        <v>0</v>
      </c>
      <c r="AG8" s="16">
        <v>0.39</v>
      </c>
      <c r="AH8" s="16">
        <v>0</v>
      </c>
      <c r="AI8" s="25">
        <v>0.44</v>
      </c>
      <c r="AJ8" s="25">
        <v>0.28000000000000003</v>
      </c>
      <c r="AK8" s="17">
        <v>0.03</v>
      </c>
      <c r="AL8" s="16">
        <v>0.13</v>
      </c>
      <c r="AM8" s="14">
        <v>0</v>
      </c>
      <c r="AN8" s="26"/>
      <c r="AO8" s="16">
        <v>0.01</v>
      </c>
      <c r="AP8" s="16">
        <v>0.01</v>
      </c>
      <c r="AQ8" s="26"/>
      <c r="AR8" s="16">
        <v>0.03</v>
      </c>
      <c r="AS8" s="14">
        <v>0.03</v>
      </c>
    </row>
    <row r="9" spans="1:45" x14ac:dyDescent="0.25">
      <c r="A9" s="2" t="s">
        <v>71</v>
      </c>
      <c r="C9" s="14">
        <v>0.04</v>
      </c>
      <c r="D9" s="16">
        <v>0.28999999999999998</v>
      </c>
      <c r="E9" s="16">
        <v>0.01</v>
      </c>
      <c r="F9" s="16">
        <v>0</v>
      </c>
      <c r="G9" s="16">
        <v>0</v>
      </c>
      <c r="H9" s="16">
        <v>0.44</v>
      </c>
      <c r="I9" s="16">
        <v>0.22</v>
      </c>
      <c r="J9" s="15">
        <v>0.52</v>
      </c>
      <c r="K9" s="16">
        <v>0.42</v>
      </c>
      <c r="L9" s="15">
        <v>0.03</v>
      </c>
      <c r="M9" s="15">
        <v>0.14000000000000001</v>
      </c>
      <c r="N9" s="16">
        <v>0</v>
      </c>
      <c r="O9" s="16">
        <v>0</v>
      </c>
      <c r="P9" s="16">
        <v>0</v>
      </c>
      <c r="Q9" s="15">
        <v>0.67</v>
      </c>
      <c r="R9" s="17">
        <v>0.32</v>
      </c>
      <c r="S9" s="18">
        <v>0.03</v>
      </c>
      <c r="T9" s="16">
        <v>0.09</v>
      </c>
      <c r="U9" s="16">
        <v>0</v>
      </c>
      <c r="V9" s="24">
        <v>0.38</v>
      </c>
      <c r="W9" s="15">
        <v>0.6</v>
      </c>
      <c r="X9" s="16">
        <v>0.11</v>
      </c>
      <c r="Y9" s="16">
        <v>0.64</v>
      </c>
      <c r="Z9" s="15">
        <v>0.53</v>
      </c>
      <c r="AA9" s="16">
        <v>0.4</v>
      </c>
      <c r="AB9" s="16">
        <v>0.32</v>
      </c>
      <c r="AC9" s="16">
        <v>0.28000000000000003</v>
      </c>
      <c r="AD9" s="16">
        <v>0.61</v>
      </c>
      <c r="AE9" s="16">
        <v>0.62</v>
      </c>
      <c r="AF9" s="16">
        <v>0</v>
      </c>
      <c r="AG9" s="16">
        <v>0.59</v>
      </c>
      <c r="AH9" s="16">
        <v>0</v>
      </c>
      <c r="AI9" s="25">
        <v>0.5</v>
      </c>
      <c r="AJ9" s="25">
        <v>0.24</v>
      </c>
      <c r="AK9" s="17">
        <v>0.02</v>
      </c>
      <c r="AL9" s="16">
        <v>0.17</v>
      </c>
      <c r="AM9" s="14">
        <v>0</v>
      </c>
      <c r="AN9" s="26"/>
      <c r="AO9" s="16">
        <v>0.01</v>
      </c>
      <c r="AP9" s="16">
        <v>0.01</v>
      </c>
      <c r="AQ9" s="26"/>
      <c r="AR9" s="16">
        <v>0.03</v>
      </c>
      <c r="AS9" s="14">
        <v>0.04</v>
      </c>
    </row>
    <row r="10" spans="1:45" x14ac:dyDescent="0.25">
      <c r="A10" s="2" t="s">
        <v>72</v>
      </c>
      <c r="C10" s="14">
        <v>0.08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0.04</v>
      </c>
      <c r="J10" s="16">
        <v>0.04</v>
      </c>
      <c r="K10" s="16">
        <v>7.0000000000000007E-2</v>
      </c>
      <c r="L10" s="16">
        <v>0</v>
      </c>
      <c r="M10" s="16">
        <v>0.02</v>
      </c>
      <c r="N10" s="16">
        <v>0</v>
      </c>
      <c r="O10" s="16">
        <v>0</v>
      </c>
      <c r="P10" s="16">
        <v>0</v>
      </c>
      <c r="Q10" s="16">
        <v>0.04</v>
      </c>
      <c r="R10" s="17">
        <v>0.04</v>
      </c>
      <c r="S10" s="18">
        <v>0.02</v>
      </c>
      <c r="T10" s="16">
        <v>0.03</v>
      </c>
      <c r="U10" s="16">
        <v>0</v>
      </c>
      <c r="V10" s="14">
        <v>0</v>
      </c>
      <c r="W10" s="16">
        <v>0.02</v>
      </c>
      <c r="X10" s="16">
        <v>0.02</v>
      </c>
      <c r="Y10" s="16">
        <v>0.06</v>
      </c>
      <c r="Z10" s="16">
        <v>0.02</v>
      </c>
      <c r="AA10" s="16">
        <v>0.02</v>
      </c>
      <c r="AB10" s="16">
        <v>0</v>
      </c>
      <c r="AC10" s="16">
        <v>0.02</v>
      </c>
      <c r="AD10" s="16">
        <v>0.02</v>
      </c>
      <c r="AE10" s="16">
        <v>0.06</v>
      </c>
      <c r="AF10" s="16">
        <v>0</v>
      </c>
      <c r="AG10" s="16">
        <v>0</v>
      </c>
      <c r="AH10" s="16">
        <v>0</v>
      </c>
      <c r="AI10" s="19">
        <v>0.02</v>
      </c>
      <c r="AJ10" s="19">
        <v>0</v>
      </c>
      <c r="AK10" s="16">
        <v>0</v>
      </c>
      <c r="AL10" s="16">
        <v>0</v>
      </c>
      <c r="AM10" s="14">
        <v>0</v>
      </c>
      <c r="AN10" s="26"/>
      <c r="AO10" s="16">
        <v>0</v>
      </c>
      <c r="AP10" s="16">
        <v>0</v>
      </c>
      <c r="AQ10" s="26"/>
      <c r="AR10" s="16">
        <v>0.01</v>
      </c>
      <c r="AS10" s="14">
        <v>0</v>
      </c>
    </row>
    <row r="11" spans="1:45" x14ac:dyDescent="0.25">
      <c r="A11" s="2" t="s">
        <v>73</v>
      </c>
      <c r="C11" s="14">
        <v>0.03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0.01</v>
      </c>
      <c r="J11" s="16">
        <v>0.01</v>
      </c>
      <c r="K11" s="16">
        <v>0.02</v>
      </c>
      <c r="L11" s="16">
        <v>0</v>
      </c>
      <c r="M11" s="16">
        <v>0.01</v>
      </c>
      <c r="N11" s="16">
        <v>0</v>
      </c>
      <c r="O11" s="16">
        <v>0</v>
      </c>
      <c r="P11" s="16">
        <v>0</v>
      </c>
      <c r="Q11" s="16">
        <v>0.02</v>
      </c>
      <c r="R11" s="17">
        <v>0.02</v>
      </c>
      <c r="S11" s="18">
        <v>0</v>
      </c>
      <c r="T11" s="16">
        <v>0</v>
      </c>
      <c r="U11" s="16">
        <v>0</v>
      </c>
      <c r="V11" s="14">
        <v>0</v>
      </c>
      <c r="W11" s="16">
        <v>0</v>
      </c>
      <c r="X11" s="16">
        <v>0</v>
      </c>
      <c r="Y11" s="16">
        <v>0.01</v>
      </c>
      <c r="Z11" s="16">
        <v>0</v>
      </c>
      <c r="AA11" s="16">
        <v>0.01</v>
      </c>
      <c r="AB11" s="16">
        <v>0.01</v>
      </c>
      <c r="AC11" s="16">
        <v>0</v>
      </c>
      <c r="AD11" s="16">
        <v>0</v>
      </c>
      <c r="AE11" s="16">
        <v>0.02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4">
        <v>0</v>
      </c>
      <c r="AN11" s="26"/>
      <c r="AO11" s="16">
        <v>0</v>
      </c>
      <c r="AP11" s="16">
        <v>0</v>
      </c>
      <c r="AQ11" s="26"/>
      <c r="AR11" s="16">
        <v>0</v>
      </c>
      <c r="AS11" s="14">
        <v>0</v>
      </c>
    </row>
    <row r="12" spans="1:45" x14ac:dyDescent="0.25">
      <c r="A12" s="2" t="s">
        <v>74</v>
      </c>
      <c r="C12" s="14">
        <v>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0.01</v>
      </c>
      <c r="S12" s="14">
        <v>0</v>
      </c>
      <c r="T12" s="16">
        <v>0</v>
      </c>
      <c r="U12" s="16">
        <v>0</v>
      </c>
      <c r="V12" s="14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4">
        <v>0</v>
      </c>
      <c r="AN12" s="26"/>
      <c r="AO12" s="16">
        <v>0</v>
      </c>
      <c r="AP12" s="16">
        <v>0</v>
      </c>
      <c r="AQ12" s="26"/>
      <c r="AR12" s="16">
        <v>0</v>
      </c>
      <c r="AS12" s="14">
        <v>0</v>
      </c>
    </row>
    <row r="13" spans="1:45" x14ac:dyDescent="0.25">
      <c r="A13" s="2" t="s">
        <v>75</v>
      </c>
      <c r="C13" s="27">
        <v>0.39</v>
      </c>
      <c r="D13" s="28">
        <v>0.78</v>
      </c>
      <c r="E13" s="28">
        <v>0.66</v>
      </c>
      <c r="F13" s="28">
        <v>0.34</v>
      </c>
      <c r="G13" s="28">
        <v>0.06</v>
      </c>
      <c r="H13" s="28">
        <v>0.13</v>
      </c>
      <c r="I13" s="28">
        <v>0.21</v>
      </c>
      <c r="J13" s="28">
        <v>0.05</v>
      </c>
      <c r="K13" s="28">
        <v>0.24</v>
      </c>
      <c r="L13" s="28">
        <v>0.12</v>
      </c>
      <c r="M13" s="28">
        <v>0.12</v>
      </c>
      <c r="N13" s="28">
        <v>0.13</v>
      </c>
      <c r="O13" s="28">
        <v>0.17</v>
      </c>
      <c r="P13" s="28">
        <v>0.12</v>
      </c>
      <c r="Q13" s="28">
        <v>0.05</v>
      </c>
      <c r="R13" s="29">
        <v>0.28000000000000003</v>
      </c>
      <c r="S13" s="30">
        <v>0.03</v>
      </c>
      <c r="T13" s="28">
        <v>0.01</v>
      </c>
      <c r="U13" s="28">
        <v>0.01</v>
      </c>
      <c r="V13" s="27">
        <v>0.08</v>
      </c>
      <c r="W13" s="28">
        <v>0.02</v>
      </c>
      <c r="X13" s="31">
        <v>0.31</v>
      </c>
      <c r="Y13" s="31">
        <v>0.28000000000000003</v>
      </c>
      <c r="Z13" s="31">
        <v>0.23</v>
      </c>
      <c r="AA13" s="28">
        <v>0.11</v>
      </c>
      <c r="AB13" s="16">
        <v>0.03</v>
      </c>
      <c r="AC13" s="28">
        <v>0.77</v>
      </c>
      <c r="AD13" s="28">
        <v>0.26</v>
      </c>
      <c r="AE13" s="28">
        <v>0.37</v>
      </c>
      <c r="AF13" s="28">
        <v>0.7</v>
      </c>
      <c r="AG13" s="28">
        <v>0.54</v>
      </c>
      <c r="AH13" s="28">
        <v>0.33</v>
      </c>
      <c r="AI13" s="32">
        <v>7.0000000000000007E-2</v>
      </c>
      <c r="AJ13" s="32">
        <v>0.27</v>
      </c>
      <c r="AK13" s="29">
        <v>0.01</v>
      </c>
      <c r="AL13" s="31">
        <v>0.39</v>
      </c>
      <c r="AM13" s="33">
        <v>0.17</v>
      </c>
      <c r="AN13" s="34"/>
      <c r="AO13" s="35">
        <v>7.0000000000000007E-2</v>
      </c>
      <c r="AP13" s="35">
        <v>0.12</v>
      </c>
      <c r="AQ13" s="34"/>
      <c r="AR13" s="35">
        <v>0.06</v>
      </c>
      <c r="AS13" s="27">
        <v>0.03</v>
      </c>
    </row>
    <row r="14" spans="1:45" x14ac:dyDescent="0.25">
      <c r="A14" s="2" t="s">
        <v>76</v>
      </c>
      <c r="C14" s="14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4">
        <v>0</v>
      </c>
      <c r="T14" s="16">
        <v>0</v>
      </c>
      <c r="U14" s="16">
        <v>0</v>
      </c>
      <c r="V14" s="14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4">
        <v>0</v>
      </c>
      <c r="AN14" s="26"/>
      <c r="AO14" s="16">
        <v>0</v>
      </c>
      <c r="AP14" s="16">
        <v>0</v>
      </c>
      <c r="AQ14" s="26"/>
      <c r="AR14" s="16">
        <v>0</v>
      </c>
      <c r="AS14" s="14">
        <v>0</v>
      </c>
    </row>
    <row r="15" spans="1:45" x14ac:dyDescent="0.25">
      <c r="A15" s="2" t="s">
        <v>77</v>
      </c>
      <c r="C15" s="14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4">
        <v>0</v>
      </c>
      <c r="T15" s="16">
        <v>0</v>
      </c>
      <c r="U15" s="16">
        <v>0</v>
      </c>
      <c r="V15" s="14">
        <v>0</v>
      </c>
      <c r="W15" s="16">
        <v>0</v>
      </c>
      <c r="X15" s="16">
        <v>0</v>
      </c>
      <c r="Y15" s="16">
        <v>0.01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4">
        <v>0</v>
      </c>
      <c r="AN15" s="26"/>
      <c r="AO15" s="16">
        <v>0</v>
      </c>
      <c r="AP15" s="16">
        <v>0</v>
      </c>
      <c r="AQ15" s="26"/>
      <c r="AR15" s="16">
        <v>0</v>
      </c>
      <c r="AS15" s="14">
        <v>0</v>
      </c>
    </row>
    <row r="16" spans="1:45" x14ac:dyDescent="0.25">
      <c r="A16" s="2" t="s">
        <v>78</v>
      </c>
      <c r="C16" s="36">
        <f>IF(SUM(C5:C15)=0,"",SUM(C5:C15))</f>
        <v>100</v>
      </c>
      <c r="D16" s="36">
        <f t="shared" ref="D16:AS16" si="0">IF(SUM(D5:D15)=0,"",SUM(D5:D15))</f>
        <v>100.00000000000001</v>
      </c>
      <c r="E16" s="36">
        <f>IF(SUM(E5:E15)=0,"",SUM(E5:E15))</f>
        <v>99.999999999999986</v>
      </c>
      <c r="F16" s="36">
        <f>IF(SUM(F5:F15)=0,"",SUM(F5:F15))</f>
        <v>100.00000000000001</v>
      </c>
      <c r="G16" s="36">
        <f t="shared" si="0"/>
        <v>100</v>
      </c>
      <c r="H16" s="36">
        <f>IF(SUM(H5:H15)=0,"",SUM(H5:H15))</f>
        <v>99.999999999999986</v>
      </c>
      <c r="I16" s="36">
        <f>IF(SUM(I5:I15)=0,"",SUM(I5:I15))</f>
        <v>100</v>
      </c>
      <c r="J16" s="36">
        <f>IF(SUM(J5:J15)=0,"",SUM(J5:J15))</f>
        <v>100</v>
      </c>
      <c r="K16" s="36">
        <f t="shared" si="0"/>
        <v>99.999999999999986</v>
      </c>
      <c r="L16" s="36">
        <f>IF(SUM(L5:L15)=0,"",SUM(L5:L15))</f>
        <v>100</v>
      </c>
      <c r="M16" s="36">
        <f>IF(SUM(M5:M15)=0,"",SUM(M5:M15))</f>
        <v>100</v>
      </c>
      <c r="N16" s="36">
        <f t="shared" si="0"/>
        <v>100</v>
      </c>
      <c r="O16" s="36">
        <f t="shared" si="0"/>
        <v>100</v>
      </c>
      <c r="P16" s="36">
        <f t="shared" si="0"/>
        <v>100</v>
      </c>
      <c r="Q16" s="36">
        <f t="shared" si="0"/>
        <v>100.00000000000001</v>
      </c>
      <c r="R16" s="36">
        <f>IF(SUM(R5:R15)=0,"",SUM(R5:R15))</f>
        <v>100</v>
      </c>
      <c r="S16" s="36">
        <f>IF(SUM(S5:S15)=0,"",SUM(S5:S15))</f>
        <v>99.999999999999986</v>
      </c>
      <c r="T16" s="36">
        <f t="shared" si="0"/>
        <v>100.00000000000001</v>
      </c>
      <c r="U16" s="36">
        <f t="shared" si="0"/>
        <v>100</v>
      </c>
      <c r="V16" s="36">
        <f>IF(SUM(V5:V15)=0,"",SUM(V5:V15))</f>
        <v>99.999999999999986</v>
      </c>
      <c r="W16" s="36">
        <f t="shared" si="0"/>
        <v>99.999999999999972</v>
      </c>
      <c r="X16" s="36">
        <f t="shared" si="0"/>
        <v>100.00000000000001</v>
      </c>
      <c r="Y16" s="36">
        <f t="shared" si="0"/>
        <v>100</v>
      </c>
      <c r="Z16" s="36">
        <f t="shared" si="0"/>
        <v>100.00000000000001</v>
      </c>
      <c r="AA16" s="36">
        <f>IF(SUM(AA5:AA15)=0,"",SUM(AA5:AA15))</f>
        <v>100</v>
      </c>
      <c r="AB16" s="36">
        <f t="shared" si="0"/>
        <v>100</v>
      </c>
      <c r="AC16" s="36">
        <f t="shared" si="0"/>
        <v>100.00000000000001</v>
      </c>
      <c r="AD16" s="36">
        <f t="shared" si="0"/>
        <v>100</v>
      </c>
      <c r="AE16" s="36">
        <f t="shared" si="0"/>
        <v>100.00000000000001</v>
      </c>
      <c r="AF16" s="36">
        <f t="shared" si="0"/>
        <v>100</v>
      </c>
      <c r="AG16" s="36">
        <f t="shared" si="0"/>
        <v>100</v>
      </c>
      <c r="AH16" s="36">
        <f t="shared" si="0"/>
        <v>99.929999999999993</v>
      </c>
      <c r="AI16" s="36">
        <f t="shared" si="0"/>
        <v>99.999999999999986</v>
      </c>
      <c r="AJ16" s="36">
        <f>IF(SUM(AJ5:AJ15)=0,"",SUM(AJ5:AJ15))</f>
        <v>100</v>
      </c>
      <c r="AK16" s="36">
        <f t="shared" si="0"/>
        <v>100.00000000000001</v>
      </c>
      <c r="AL16" s="36">
        <f>IF(SUM(AL5:AL15)=0,"",SUM(AL5:AL15))</f>
        <v>99.999999999999986</v>
      </c>
      <c r="AM16" s="36">
        <f t="shared" si="0"/>
        <v>100</v>
      </c>
      <c r="AN16" s="36" t="str">
        <f>IF(SUM(AN5:AN15)=0,"",SUM(AN5:AN15))</f>
        <v/>
      </c>
      <c r="AO16" s="36">
        <f>IF(SUM(AO5:AO15)=0,"",SUM(AO5:AO15))</f>
        <v>100.00000000000001</v>
      </c>
      <c r="AP16" s="36">
        <f>IF(SUM(AP5:AP15)=0,"",SUM(AP5:AP15))</f>
        <v>100.00000000000003</v>
      </c>
      <c r="AQ16" s="36" t="str">
        <f>IF(SUM(AQ5:AQ15)=0,"",SUM(AQ5:AQ15))</f>
        <v/>
      </c>
      <c r="AR16" s="36">
        <f>IF(SUM(AR5:AR15)=0,"",SUM(AR5:AR15))</f>
        <v>100.00000000000001</v>
      </c>
      <c r="AS16" s="36">
        <f t="shared" si="0"/>
        <v>100.00000000000001</v>
      </c>
    </row>
    <row r="18" spans="1:45" x14ac:dyDescent="0.25">
      <c r="A18" s="37" t="s">
        <v>79</v>
      </c>
      <c r="B18" s="37"/>
      <c r="C18" s="38">
        <f>IF(C109=0,"",C109)</f>
        <v>17.734496740000004</v>
      </c>
      <c r="D18" s="38">
        <f t="shared" ref="D18:AS18" si="1">IF(D109=0,"",D109)</f>
        <v>17.985971039999999</v>
      </c>
      <c r="E18" s="38">
        <f>IF(E109=0,"",E109)</f>
        <v>17.369867299999999</v>
      </c>
      <c r="F18" s="38">
        <f>IF(F109=0,"",F109)</f>
        <v>17.203918419999997</v>
      </c>
      <c r="G18" s="38">
        <f t="shared" si="1"/>
        <v>17.226506029999999</v>
      </c>
      <c r="H18" s="38">
        <f>IF(H109=0,"",H109)</f>
        <v>17.5925647</v>
      </c>
      <c r="I18" s="38">
        <f>IF(I109=0,"",I109)</f>
        <v>17.063522280000001</v>
      </c>
      <c r="J18" s="38">
        <f>IF(J109=0,"",J109)</f>
        <v>18.301146060000001</v>
      </c>
      <c r="K18" s="38">
        <f t="shared" si="1"/>
        <v>17.560847880000001</v>
      </c>
      <c r="L18" s="38">
        <f>IF(L109=0,"",L109)</f>
        <v>18.294093430000004</v>
      </c>
      <c r="M18" s="38">
        <f>IF(M109=0,"",M109)</f>
        <v>18.078086419999998</v>
      </c>
      <c r="N18" s="38">
        <f t="shared" si="1"/>
        <v>16.069283380000002</v>
      </c>
      <c r="O18" s="38">
        <f t="shared" si="1"/>
        <v>16.067058480000004</v>
      </c>
      <c r="P18" s="38">
        <f t="shared" si="1"/>
        <v>16.063878330000001</v>
      </c>
      <c r="Q18" s="38">
        <f t="shared" si="1"/>
        <v>17.876143320000001</v>
      </c>
      <c r="R18" s="38">
        <f>IF(R109=0,"",R109)</f>
        <v>17.555817970000003</v>
      </c>
      <c r="S18" s="38">
        <f>IF(S109=0,"",S109)</f>
        <v>16.485121119999999</v>
      </c>
      <c r="T18" s="38">
        <f t="shared" si="1"/>
        <v>16.590731670000004</v>
      </c>
      <c r="U18" s="38">
        <f t="shared" si="1"/>
        <v>16.980667369999999</v>
      </c>
      <c r="V18" s="38">
        <f>IF(V109=0,"",V109)</f>
        <v>17.63146382</v>
      </c>
      <c r="W18" s="38">
        <f t="shared" si="1"/>
        <v>17.502251739999998</v>
      </c>
      <c r="X18" s="38">
        <f t="shared" si="1"/>
        <v>16.630852180000005</v>
      </c>
      <c r="Y18" s="38">
        <f t="shared" si="1"/>
        <v>17.725732399999998</v>
      </c>
      <c r="Z18" s="38">
        <f t="shared" si="1"/>
        <v>17.751814949999996</v>
      </c>
      <c r="AA18" s="38">
        <f>IF(AA109=0,"",AA109)</f>
        <v>18.140011169999998</v>
      </c>
      <c r="AB18" s="38">
        <f t="shared" si="1"/>
        <v>17.570775050000002</v>
      </c>
      <c r="AC18" s="38">
        <f t="shared" si="1"/>
        <v>17.448961099999998</v>
      </c>
      <c r="AD18" s="38">
        <f t="shared" si="1"/>
        <v>17.993856879999999</v>
      </c>
      <c r="AE18" s="38">
        <f t="shared" si="1"/>
        <v>18.51759019</v>
      </c>
      <c r="AF18" s="38">
        <f t="shared" si="1"/>
        <v>17.439176800000002</v>
      </c>
      <c r="AG18" s="38">
        <f t="shared" si="1"/>
        <v>18.002127129999998</v>
      </c>
      <c r="AH18" s="38">
        <f t="shared" si="1"/>
        <v>16.961457020000001</v>
      </c>
      <c r="AI18" s="38">
        <f t="shared" si="1"/>
        <v>17.654112549999994</v>
      </c>
      <c r="AJ18" s="38">
        <f>IF(AJ109=0,"",AJ109)</f>
        <v>17.037041240000001</v>
      </c>
      <c r="AK18" s="38">
        <f t="shared" si="1"/>
        <v>16.359293720000004</v>
      </c>
      <c r="AL18" s="38">
        <f>IF(AL109=0,"",AL109)</f>
        <v>18.21139827</v>
      </c>
      <c r="AM18" s="38">
        <f t="shared" si="1"/>
        <v>16.076877039999999</v>
      </c>
      <c r="AN18" s="38" t="str">
        <f>IF(AN109=0,"",AN109)</f>
        <v/>
      </c>
      <c r="AO18" s="38">
        <f>IF(AO109=0,"",AO109)</f>
        <v>16.43380324</v>
      </c>
      <c r="AP18" s="38">
        <f>IF(AP109=0,"",AP109)</f>
        <v>16.912481799999998</v>
      </c>
      <c r="AQ18" s="38" t="str">
        <f>IF(AQ109=0,"",AQ109)</f>
        <v/>
      </c>
      <c r="AR18" s="38">
        <f>IF(AR109=0,"",AR109)</f>
        <v>16.686485990000005</v>
      </c>
      <c r="AS18" s="38">
        <f t="shared" si="1"/>
        <v>17.138756550000004</v>
      </c>
    </row>
    <row r="19" spans="1:45" x14ac:dyDescent="0.25">
      <c r="A19" s="37" t="s">
        <v>80</v>
      </c>
      <c r="B19" s="37"/>
      <c r="C19" s="36">
        <f>IF(C16="","",C18/(C275-(C5/100*(C283+(((C291-C283)*C13/100)/0.0425)))))</f>
        <v>453.83965445659112</v>
      </c>
      <c r="D19" s="36">
        <f t="shared" ref="C19:AS19" si="2">IF(D16="","",D18/(D275-(D5/100*(D283+(((D291-D283)*D13/100)/0.0425)))))</f>
        <v>458.40912107207726</v>
      </c>
      <c r="E19" s="36">
        <f t="shared" si="2"/>
        <v>447.3878455293621</v>
      </c>
      <c r="F19" s="36">
        <f t="shared" si="2"/>
        <v>444.38848478004672</v>
      </c>
      <c r="G19" s="36">
        <f t="shared" si="2"/>
        <v>444.60926090151327</v>
      </c>
      <c r="H19" s="36">
        <f t="shared" si="2"/>
        <v>450.07034047050934</v>
      </c>
      <c r="I19" s="36">
        <f t="shared" si="2"/>
        <v>440.5455462491766</v>
      </c>
      <c r="J19" s="36">
        <f t="shared" si="2"/>
        <v>462.81832357988452</v>
      </c>
      <c r="K19" s="36">
        <f t="shared" si="2"/>
        <v>449.52783123589722</v>
      </c>
      <c r="L19" s="36">
        <f t="shared" si="2"/>
        <v>464.33725753482958</v>
      </c>
      <c r="M19" s="36">
        <f t="shared" si="2"/>
        <v>459.75586107746187</v>
      </c>
      <c r="N19" s="36">
        <f t="shared" si="2"/>
        <v>421.0656826233178</v>
      </c>
      <c r="O19" s="36">
        <f t="shared" si="2"/>
        <v>421.02270003050694</v>
      </c>
      <c r="P19" s="36">
        <f t="shared" si="2"/>
        <v>420.95777576041451</v>
      </c>
      <c r="Q19" s="36">
        <f t="shared" si="2"/>
        <v>454.7188546691188</v>
      </c>
      <c r="R19" s="36">
        <f t="shared" si="2"/>
        <v>449.31946127554278</v>
      </c>
      <c r="S19" s="36">
        <f t="shared" si="2"/>
        <v>429.48876394973291</v>
      </c>
      <c r="T19" s="36">
        <f t="shared" si="2"/>
        <v>431.27878513171731</v>
      </c>
      <c r="U19" s="36">
        <f t="shared" si="2"/>
        <v>439.74068558564863</v>
      </c>
      <c r="V19" s="36">
        <f t="shared" si="2"/>
        <v>450.9024954185017</v>
      </c>
      <c r="W19" s="36">
        <f t="shared" si="2"/>
        <v>447.83695537424092</v>
      </c>
      <c r="X19" s="36">
        <f t="shared" si="2"/>
        <v>432.28770426101147</v>
      </c>
      <c r="Y19" s="36">
        <f t="shared" si="2"/>
        <v>452.18943216576196</v>
      </c>
      <c r="Z19" s="36">
        <f t="shared" si="2"/>
        <v>452.62276986109435</v>
      </c>
      <c r="AA19" s="36">
        <f t="shared" si="2"/>
        <v>459.53817352465336</v>
      </c>
      <c r="AB19" s="36">
        <f t="shared" si="2"/>
        <v>449.69401394741431</v>
      </c>
      <c r="AC19" s="36">
        <f t="shared" si="2"/>
        <v>448.34289154105994</v>
      </c>
      <c r="AD19" s="36">
        <f t="shared" si="2"/>
        <v>457.18299913373573</v>
      </c>
      <c r="AE19" s="36">
        <f t="shared" si="2"/>
        <v>466.6236945712198</v>
      </c>
      <c r="AF19" s="36">
        <f t="shared" si="2"/>
        <v>449.15563358506995</v>
      </c>
      <c r="AG19" s="36">
        <f t="shared" si="2"/>
        <v>457.8273723824413</v>
      </c>
      <c r="AH19" s="36">
        <f t="shared" si="2"/>
        <v>439.75321261131887</v>
      </c>
      <c r="AI19" s="36">
        <f t="shared" si="2"/>
        <v>450.94218599364223</v>
      </c>
      <c r="AJ19" s="36">
        <f t="shared" si="2"/>
        <v>440.03142461749019</v>
      </c>
      <c r="AK19" s="36">
        <f t="shared" si="2"/>
        <v>426.90442540871157</v>
      </c>
      <c r="AL19" s="36">
        <f t="shared" si="2"/>
        <v>462.59094066446204</v>
      </c>
      <c r="AM19" s="36">
        <f t="shared" si="2"/>
        <v>421.22393641596761</v>
      </c>
      <c r="AN19" s="36" t="str">
        <f t="shared" si="2"/>
        <v/>
      </c>
      <c r="AO19" s="36">
        <f t="shared" si="2"/>
        <v>428.57233359128941</v>
      </c>
      <c r="AP19" s="36">
        <f t="shared" si="2"/>
        <v>438.34850665995634</v>
      </c>
      <c r="AQ19" s="36" t="str">
        <f t="shared" si="2"/>
        <v/>
      </c>
      <c r="AR19" s="36">
        <f t="shared" si="2"/>
        <v>433.65594251536385</v>
      </c>
      <c r="AS19" s="36">
        <f t="shared" si="2"/>
        <v>442.44898519879274</v>
      </c>
    </row>
    <row r="21" spans="1:45" x14ac:dyDescent="0.25">
      <c r="A21" s="39" t="s">
        <v>81</v>
      </c>
      <c r="B21" s="39"/>
      <c r="C21" s="38">
        <f>IF(C109=0,"",C19*(C151/C109)/1055.056)</f>
        <v>23.479695074016004</v>
      </c>
      <c r="D21" s="38">
        <f t="shared" ref="D21:AS21" si="3">IF(D109=0,"",D19*(D151/D109)/1055.056)</f>
        <v>23.534462002647285</v>
      </c>
      <c r="E21" s="38">
        <f t="shared" si="3"/>
        <v>23.111939578993091</v>
      </c>
      <c r="F21" s="38">
        <f t="shared" si="3"/>
        <v>23.101300325713137</v>
      </c>
      <c r="G21" s="38">
        <f t="shared" si="3"/>
        <v>23.208958395985594</v>
      </c>
      <c r="H21" s="38">
        <f t="shared" si="3"/>
        <v>23.394997923413314</v>
      </c>
      <c r="I21" s="38">
        <f t="shared" si="3"/>
        <v>22.966258372337663</v>
      </c>
      <c r="J21" s="38">
        <f t="shared" si="3"/>
        <v>23.963578158478047</v>
      </c>
      <c r="K21" s="38">
        <f t="shared" si="3"/>
        <v>23.333035766164478</v>
      </c>
      <c r="L21" s="38">
        <f>IF(L109=0,"",L19*(L151/L109)/1055.056)</f>
        <v>24.028228230335024</v>
      </c>
      <c r="M21" s="38">
        <f t="shared" si="3"/>
        <v>23.822822290583304</v>
      </c>
      <c r="N21" s="38">
        <f t="shared" si="3"/>
        <v>22.162086842064969</v>
      </c>
      <c r="O21" s="38">
        <f t="shared" si="3"/>
        <v>22.145713517015189</v>
      </c>
      <c r="P21" s="38">
        <f t="shared" si="3"/>
        <v>22.161106760652963</v>
      </c>
      <c r="Q21" s="38">
        <f t="shared" si="3"/>
        <v>23.612605727460807</v>
      </c>
      <c r="R21" s="38">
        <f t="shared" si="3"/>
        <v>23.308231155878605</v>
      </c>
      <c r="S21" s="38">
        <f t="shared" si="3"/>
        <v>22.561592373537209</v>
      </c>
      <c r="T21" s="38">
        <f t="shared" si="3"/>
        <v>22.640898099189322</v>
      </c>
      <c r="U21" s="38">
        <f t="shared" si="3"/>
        <v>23.016486740754033</v>
      </c>
      <c r="V21" s="38">
        <f t="shared" si="3"/>
        <v>23.449953702519462</v>
      </c>
      <c r="W21" s="38">
        <f t="shared" si="3"/>
        <v>23.330753489116731</v>
      </c>
      <c r="X21" s="38">
        <f t="shared" si="3"/>
        <v>22.578734956628452</v>
      </c>
      <c r="Y21" s="38">
        <f t="shared" si="3"/>
        <v>23.422010807478497</v>
      </c>
      <c r="Z21" s="38">
        <f t="shared" si="3"/>
        <v>23.461835347331576</v>
      </c>
      <c r="AA21" s="38">
        <f t="shared" si="3"/>
        <v>23.796695764662047</v>
      </c>
      <c r="AB21" s="38">
        <f t="shared" si="3"/>
        <v>23.415316967265277</v>
      </c>
      <c r="AC21" s="38">
        <f t="shared" si="3"/>
        <v>23.105367065535663</v>
      </c>
      <c r="AD21" s="38">
        <f t="shared" si="3"/>
        <v>23.64714570035202</v>
      </c>
      <c r="AE21" s="38">
        <f t="shared" si="3"/>
        <v>24.011229645606566</v>
      </c>
      <c r="AF21" s="38">
        <f t="shared" si="3"/>
        <v>23.179932361823063</v>
      </c>
      <c r="AG21" s="38">
        <f t="shared" si="3"/>
        <v>23.582433406643151</v>
      </c>
      <c r="AH21" s="38">
        <f t="shared" si="3"/>
        <v>22.903274187124701</v>
      </c>
      <c r="AI21" s="38">
        <f t="shared" si="3"/>
        <v>23.449466079976936</v>
      </c>
      <c r="AJ21" s="38">
        <f t="shared" si="3"/>
        <v>22.922359023807118</v>
      </c>
      <c r="AK21" s="38">
        <f t="shared" si="3"/>
        <v>22.456774973276261</v>
      </c>
      <c r="AL21" s="38">
        <f t="shared" si="3"/>
        <v>23.85376935760835</v>
      </c>
      <c r="AM21" s="38">
        <f t="shared" si="3"/>
        <v>22.154408709776501</v>
      </c>
      <c r="AN21" s="38" t="str">
        <f t="shared" si="3"/>
        <v/>
      </c>
      <c r="AO21" s="38">
        <f t="shared" si="3"/>
        <v>22.509392727730852</v>
      </c>
      <c r="AP21" s="38">
        <f t="shared" si="3"/>
        <v>22.915904772473951</v>
      </c>
      <c r="AQ21" s="38" t="str">
        <f t="shared" si="3"/>
        <v/>
      </c>
      <c r="AR21" s="38">
        <f t="shared" si="3"/>
        <v>22.732405605152007</v>
      </c>
      <c r="AS21" s="38">
        <f t="shared" si="3"/>
        <v>23.120101812093008</v>
      </c>
    </row>
    <row r="22" spans="1:45" x14ac:dyDescent="0.25">
      <c r="A22" s="39" t="s">
        <v>82</v>
      </c>
      <c r="B22" s="39"/>
      <c r="C22" s="38">
        <f>IF(C109=0,"",C19*(C179/C109)/1055.056)</f>
        <v>23.443411841121591</v>
      </c>
      <c r="D22" s="38">
        <f t="shared" ref="D22:AS22" si="4">IF(D109=0,"",D19*(D179/D109)/1055.056)</f>
        <v>23.498169831800876</v>
      </c>
      <c r="E22" s="38">
        <f t="shared" si="4"/>
        <v>23.076044422712261</v>
      </c>
      <c r="F22" s="38">
        <f t="shared" si="4"/>
        <v>23.065351862492935</v>
      </c>
      <c r="G22" s="38">
        <f t="shared" si="4"/>
        <v>23.172867895439126</v>
      </c>
      <c r="H22" s="38">
        <f t="shared" si="4"/>
        <v>23.358776641239114</v>
      </c>
      <c r="I22" s="38">
        <f t="shared" si="4"/>
        <v>22.930468266421542</v>
      </c>
      <c r="J22" s="38">
        <f t="shared" si="4"/>
        <v>23.926793002772474</v>
      </c>
      <c r="K22" s="38">
        <f t="shared" si="4"/>
        <v>23.296894415279336</v>
      </c>
      <c r="L22" s="38">
        <f>IF(L109=0,"",L19*(L179/L109)/1055.056)</f>
        <v>23.991344399285413</v>
      </c>
      <c r="M22" s="38">
        <f t="shared" si="4"/>
        <v>23.786168864415256</v>
      </c>
      <c r="N22" s="38">
        <f t="shared" si="4"/>
        <v>22.127098416949039</v>
      </c>
      <c r="O22" s="38">
        <f t="shared" si="4"/>
        <v>22.110747438663996</v>
      </c>
      <c r="P22" s="38">
        <f t="shared" si="4"/>
        <v>22.126117718155836</v>
      </c>
      <c r="Q22" s="38">
        <f t="shared" si="4"/>
        <v>23.576170417800622</v>
      </c>
      <c r="R22" s="38">
        <f t="shared" si="4"/>
        <v>23.272139314405518</v>
      </c>
      <c r="S22" s="38">
        <f t="shared" si="4"/>
        <v>22.526179055745857</v>
      </c>
      <c r="T22" s="38">
        <f t="shared" si="4"/>
        <v>22.605413701438692</v>
      </c>
      <c r="U22" s="38">
        <f t="shared" si="4"/>
        <v>22.980587757130234</v>
      </c>
      <c r="V22" s="38">
        <f t="shared" si="4"/>
        <v>23.413669083281793</v>
      </c>
      <c r="W22" s="38">
        <f t="shared" si="4"/>
        <v>23.294591936666251</v>
      </c>
      <c r="X22" s="38">
        <f t="shared" si="4"/>
        <v>22.543346724366902</v>
      </c>
      <c r="Y22" s="38">
        <f t="shared" si="4"/>
        <v>23.385792160107201</v>
      </c>
      <c r="Z22" s="38">
        <f t="shared" si="4"/>
        <v>23.425580882757785</v>
      </c>
      <c r="AA22" s="38">
        <f t="shared" si="4"/>
        <v>23.760118296108157</v>
      </c>
      <c r="AB22" s="38">
        <f t="shared" si="4"/>
        <v>23.379069325794401</v>
      </c>
      <c r="AC22" s="38">
        <f t="shared" si="4"/>
        <v>23.069501448276355</v>
      </c>
      <c r="AD22" s="38">
        <f t="shared" si="4"/>
        <v>23.610699925741269</v>
      </c>
      <c r="AE22" s="38">
        <f t="shared" si="4"/>
        <v>23.974446778605948</v>
      </c>
      <c r="AF22" s="38">
        <f t="shared" si="4"/>
        <v>23.143949883312008</v>
      </c>
      <c r="AG22" s="38">
        <f t="shared" si="4"/>
        <v>23.546073458007722</v>
      </c>
      <c r="AH22" s="38">
        <f t="shared" si="4"/>
        <v>22.867532125456318</v>
      </c>
      <c r="AI22" s="38">
        <f t="shared" si="4"/>
        <v>23.413191168721401</v>
      </c>
      <c r="AJ22" s="38">
        <f t="shared" si="4"/>
        <v>22.886620091244872</v>
      </c>
      <c r="AK22" s="38">
        <f t="shared" si="4"/>
        <v>22.42146952222522</v>
      </c>
      <c r="AL22" s="38">
        <f t="shared" si="4"/>
        <v>23.817103850912485</v>
      </c>
      <c r="AM22" s="38">
        <f t="shared" si="4"/>
        <v>22.11943374936806</v>
      </c>
      <c r="AN22" s="38" t="str">
        <f t="shared" si="4"/>
        <v/>
      </c>
      <c r="AO22" s="38">
        <f t="shared" si="4"/>
        <v>22.474033954806597</v>
      </c>
      <c r="AP22" s="38">
        <f t="shared" si="4"/>
        <v>22.880127501611987</v>
      </c>
      <c r="AQ22" s="38" t="str">
        <f t="shared" si="4"/>
        <v/>
      </c>
      <c r="AR22" s="38">
        <f t="shared" si="4"/>
        <v>22.696815163646249</v>
      </c>
      <c r="AS22" s="38">
        <f t="shared" si="4"/>
        <v>23.084119573631462</v>
      </c>
    </row>
    <row r="23" spans="1:45" x14ac:dyDescent="0.25">
      <c r="A23" s="39" t="s">
        <v>83</v>
      </c>
      <c r="B23" s="39"/>
      <c r="C23" s="38">
        <f>IF(C109=0,"",C22/1.000056)</f>
        <v>23.442099083572909</v>
      </c>
      <c r="D23" s="38">
        <f t="shared" ref="D23:AS23" si="5">IF(D109=0,"",D22/1.000056)</f>
        <v>23.496854007976427</v>
      </c>
      <c r="E23" s="38">
        <f t="shared" si="5"/>
        <v>23.07475223658701</v>
      </c>
      <c r="F23" s="38">
        <f t="shared" si="5"/>
        <v>23.064060275117527</v>
      </c>
      <c r="G23" s="38">
        <f t="shared" si="5"/>
        <v>23.171570287503023</v>
      </c>
      <c r="H23" s="38">
        <f t="shared" si="5"/>
        <v>23.357468622996226</v>
      </c>
      <c r="I23" s="38">
        <f t="shared" si="5"/>
        <v>22.929184232104543</v>
      </c>
      <c r="J23" s="38">
        <f t="shared" si="5"/>
        <v>23.925453177394537</v>
      </c>
      <c r="K23" s="38">
        <f t="shared" si="5"/>
        <v>23.295589862247049</v>
      </c>
      <c r="L23" s="38">
        <f>IF(L109=0,"",L22/1.000056)</f>
        <v>23.990000959231693</v>
      </c>
      <c r="M23" s="38">
        <f t="shared" si="5"/>
        <v>23.784836913548094</v>
      </c>
      <c r="N23" s="38">
        <f t="shared" si="5"/>
        <v>22.125859368824383</v>
      </c>
      <c r="O23" s="38">
        <f t="shared" si="5"/>
        <v>22.109509306142851</v>
      </c>
      <c r="P23" s="38">
        <f t="shared" si="5"/>
        <v>22.124878724947237</v>
      </c>
      <c r="Q23" s="38">
        <f t="shared" si="5"/>
        <v>23.574850226187955</v>
      </c>
      <c r="R23" s="38">
        <f t="shared" si="5"/>
        <v>23.270836147581253</v>
      </c>
      <c r="S23" s="38">
        <f t="shared" si="5"/>
        <v>22.524917660356877</v>
      </c>
      <c r="T23" s="38">
        <f t="shared" si="5"/>
        <v>22.60414786915802</v>
      </c>
      <c r="U23" s="38">
        <f t="shared" si="5"/>
        <v>22.97930091627892</v>
      </c>
      <c r="V23" s="38">
        <f t="shared" si="5"/>
        <v>23.412357991234281</v>
      </c>
      <c r="W23" s="38">
        <f t="shared" si="5"/>
        <v>23.293287512565545</v>
      </c>
      <c r="X23" s="38">
        <f t="shared" si="5"/>
        <v>22.542084367642314</v>
      </c>
      <c r="Y23" s="38">
        <f t="shared" si="5"/>
        <v>23.384482629079972</v>
      </c>
      <c r="Z23" s="38">
        <f t="shared" si="5"/>
        <v>23.424269123686859</v>
      </c>
      <c r="AA23" s="38">
        <f t="shared" si="5"/>
        <v>23.758787803991133</v>
      </c>
      <c r="AB23" s="38">
        <f t="shared" si="5"/>
        <v>23.377760171224811</v>
      </c>
      <c r="AC23" s="38">
        <f t="shared" si="5"/>
        <v>23.068209628537154</v>
      </c>
      <c r="AD23" s="38">
        <f t="shared" si="5"/>
        <v>23.609377800584436</v>
      </c>
      <c r="AE23" s="38">
        <f t="shared" si="5"/>
        <v>23.973104284765999</v>
      </c>
      <c r="AF23" s="38">
        <f t="shared" si="5"/>
        <v>23.142653894693904</v>
      </c>
      <c r="AG23" s="38">
        <f t="shared" si="5"/>
        <v>23.544754951730425</v>
      </c>
      <c r="AH23" s="38">
        <f t="shared" si="5"/>
        <v>22.866251615365858</v>
      </c>
      <c r="AI23" s="38">
        <f t="shared" si="5"/>
        <v>23.411880103435607</v>
      </c>
      <c r="AJ23" s="38">
        <f t="shared" si="5"/>
        <v>22.885338512288182</v>
      </c>
      <c r="AK23" s="38">
        <f t="shared" si="5"/>
        <v>22.420213990241766</v>
      </c>
      <c r="AL23" s="38">
        <f t="shared" si="5"/>
        <v>23.815770167783089</v>
      </c>
      <c r="AM23" s="38">
        <f t="shared" si="5"/>
        <v>22.118195130440753</v>
      </c>
      <c r="AN23" s="38" t="str">
        <f t="shared" si="5"/>
        <v/>
      </c>
      <c r="AO23" s="38">
        <f t="shared" si="5"/>
        <v>22.472775479379749</v>
      </c>
      <c r="AP23" s="38">
        <f t="shared" si="5"/>
        <v>22.878846286219957</v>
      </c>
      <c r="AQ23" s="38" t="str">
        <f t="shared" si="5"/>
        <v/>
      </c>
      <c r="AR23" s="38">
        <f t="shared" si="5"/>
        <v>22.695544213170312</v>
      </c>
      <c r="AS23" s="38">
        <f t="shared" si="5"/>
        <v>23.082826935323084</v>
      </c>
    </row>
    <row r="24" spans="1:45" x14ac:dyDescent="0.25">
      <c r="A24" s="39" t="s">
        <v>84</v>
      </c>
      <c r="B24" s="39"/>
      <c r="C24" s="38">
        <f>IF(C109=0,"",C19*(C207/C109)/1055.056)</f>
        <v>23.431325822517813</v>
      </c>
      <c r="D24" s="38">
        <f t="shared" ref="D24:AS24" si="6">IF(D109=0,"",D19*(D207/D109)/1055.056)</f>
        <v>23.486090921659891</v>
      </c>
      <c r="E24" s="38">
        <f t="shared" si="6"/>
        <v>23.064085669042385</v>
      </c>
      <c r="F24" s="38">
        <f t="shared" si="6"/>
        <v>23.053375545665812</v>
      </c>
      <c r="G24" s="38">
        <f t="shared" si="6"/>
        <v>23.160844341694897</v>
      </c>
      <c r="H24" s="38">
        <f t="shared" si="6"/>
        <v>23.346724833027046</v>
      </c>
      <c r="I24" s="38">
        <f t="shared" si="6"/>
        <v>22.918550393060414</v>
      </c>
      <c r="J24" s="38">
        <f t="shared" si="6"/>
        <v>23.914558241763281</v>
      </c>
      <c r="K24" s="38">
        <f t="shared" si="6"/>
        <v>23.284868147894745</v>
      </c>
      <c r="L24" s="38">
        <f>IF(L109=0,"",L19*(L207/L109)/1055.056)</f>
        <v>23.979061312388705</v>
      </c>
      <c r="M24" s="38">
        <f t="shared" si="6"/>
        <v>23.773964337308076</v>
      </c>
      <c r="N24" s="38">
        <f t="shared" si="6"/>
        <v>22.115435658248629</v>
      </c>
      <c r="O24" s="38">
        <f t="shared" si="6"/>
        <v>22.099092104050282</v>
      </c>
      <c r="P24" s="38">
        <f t="shared" si="6"/>
        <v>22.114454745386421</v>
      </c>
      <c r="Q24" s="38">
        <f t="shared" si="6"/>
        <v>23.564056038503434</v>
      </c>
      <c r="R24" s="38">
        <f t="shared" si="6"/>
        <v>23.260124880803414</v>
      </c>
      <c r="S24" s="38">
        <f t="shared" si="6"/>
        <v>22.514377917191329</v>
      </c>
      <c r="T24" s="38">
        <f t="shared" si="6"/>
        <v>22.593591161830457</v>
      </c>
      <c r="U24" s="38">
        <f t="shared" si="6"/>
        <v>22.968626763743412</v>
      </c>
      <c r="V24" s="38">
        <f t="shared" si="6"/>
        <v>23.40159450651489</v>
      </c>
      <c r="W24" s="38">
        <f t="shared" si="6"/>
        <v>23.282565118927891</v>
      </c>
      <c r="X24" s="38">
        <f t="shared" si="6"/>
        <v>22.531557068917781</v>
      </c>
      <c r="Y24" s="38">
        <f t="shared" si="6"/>
        <v>23.373748558579098</v>
      </c>
      <c r="Z24" s="38">
        <f t="shared" si="6"/>
        <v>23.413521073812237</v>
      </c>
      <c r="AA24" s="38">
        <f t="shared" si="6"/>
        <v>23.747946688074027</v>
      </c>
      <c r="AB24" s="38">
        <f t="shared" si="6"/>
        <v>23.367004098677338</v>
      </c>
      <c r="AC24" s="38">
        <f t="shared" si="6"/>
        <v>23.05756206431948</v>
      </c>
      <c r="AD24" s="38">
        <f t="shared" si="6"/>
        <v>23.598580842528587</v>
      </c>
      <c r="AE24" s="38">
        <f t="shared" si="6"/>
        <v>23.962216983579467</v>
      </c>
      <c r="AF24" s="38">
        <f t="shared" si="6"/>
        <v>23.131963177468322</v>
      </c>
      <c r="AG24" s="38">
        <f t="shared" si="6"/>
        <v>23.53398235260558</v>
      </c>
      <c r="AH24" s="38">
        <f t="shared" si="6"/>
        <v>22.855623224418679</v>
      </c>
      <c r="AI24" s="38">
        <f t="shared" si="6"/>
        <v>23.401123588565113</v>
      </c>
      <c r="AJ24" s="38">
        <f t="shared" si="6"/>
        <v>22.87472007188148</v>
      </c>
      <c r="AK24" s="38">
        <f t="shared" si="6"/>
        <v>22.409703165647116</v>
      </c>
      <c r="AL24" s="38">
        <f t="shared" si="6"/>
        <v>23.804897584278237</v>
      </c>
      <c r="AM24" s="38">
        <f t="shared" si="6"/>
        <v>22.107775495454263</v>
      </c>
      <c r="AN24" s="38" t="str">
        <f t="shared" si="6"/>
        <v/>
      </c>
      <c r="AO24" s="38">
        <f t="shared" si="6"/>
        <v>22.462250119513619</v>
      </c>
      <c r="AP24" s="38">
        <f t="shared" si="6"/>
        <v>22.868206813468692</v>
      </c>
      <c r="AQ24" s="38" t="str">
        <f t="shared" si="6"/>
        <v/>
      </c>
      <c r="AR24" s="38">
        <f t="shared" si="6"/>
        <v>22.684956141589989</v>
      </c>
      <c r="AS24" s="38">
        <f t="shared" si="6"/>
        <v>23.072132035405545</v>
      </c>
    </row>
    <row r="25" spans="1:45" x14ac:dyDescent="0.25">
      <c r="A25" s="39" t="s">
        <v>85</v>
      </c>
      <c r="B25" s="39"/>
      <c r="C25" s="38">
        <f>IF(C109=0,"",C19*(C235/C109)/1055.056)</f>
        <v>23.419482163657893</v>
      </c>
      <c r="D25" s="38">
        <f t="shared" ref="D25:AS25" si="7">IF(D109=0,"",D19*(D235/D109)/1055.056)</f>
        <v>23.474252881437103</v>
      </c>
      <c r="E25" s="38">
        <f t="shared" si="7"/>
        <v>23.052369502336219</v>
      </c>
      <c r="F25" s="38">
        <f t="shared" si="7"/>
        <v>23.04164322376381</v>
      </c>
      <c r="G25" s="38">
        <f t="shared" si="7"/>
        <v>23.149065268964293</v>
      </c>
      <c r="H25" s="38">
        <f t="shared" si="7"/>
        <v>23.334917129319734</v>
      </c>
      <c r="I25" s="38">
        <f t="shared" si="7"/>
        <v>22.906877960948449</v>
      </c>
      <c r="J25" s="38">
        <f t="shared" si="7"/>
        <v>23.902565403676128</v>
      </c>
      <c r="K25" s="38">
        <f t="shared" si="7"/>
        <v>23.27308615538497</v>
      </c>
      <c r="L25" s="38">
        <f>IF(L109=0,"",L19*(L235/L109)/1055.056)</f>
        <v>23.967018678340413</v>
      </c>
      <c r="M25" s="38">
        <f t="shared" si="7"/>
        <v>23.762001434363924</v>
      </c>
      <c r="N25" s="38">
        <f t="shared" si="7"/>
        <v>22.104020934495651</v>
      </c>
      <c r="O25" s="38">
        <f t="shared" si="7"/>
        <v>22.087684714061091</v>
      </c>
      <c r="P25" s="38">
        <f t="shared" si="7"/>
        <v>22.103039852273572</v>
      </c>
      <c r="Q25" s="38">
        <f t="shared" si="7"/>
        <v>23.552185746829903</v>
      </c>
      <c r="R25" s="38">
        <f t="shared" si="7"/>
        <v>23.248354096604949</v>
      </c>
      <c r="S25" s="38">
        <f t="shared" si="7"/>
        <v>22.502823961426884</v>
      </c>
      <c r="T25" s="38">
        <f t="shared" si="7"/>
        <v>22.582015821875196</v>
      </c>
      <c r="U25" s="38">
        <f t="shared" si="7"/>
        <v>22.956911197702645</v>
      </c>
      <c r="V25" s="38">
        <f t="shared" si="7"/>
        <v>23.389764067237291</v>
      </c>
      <c r="W25" s="38">
        <f t="shared" si="7"/>
        <v>23.270783514816578</v>
      </c>
      <c r="X25" s="38">
        <f t="shared" si="7"/>
        <v>22.52001360820034</v>
      </c>
      <c r="Y25" s="38">
        <f t="shared" si="7"/>
        <v>23.361949190464497</v>
      </c>
      <c r="Z25" s="38">
        <f t="shared" si="7"/>
        <v>23.401705058970478</v>
      </c>
      <c r="AA25" s="38">
        <f t="shared" si="7"/>
        <v>23.736017446116392</v>
      </c>
      <c r="AB25" s="38">
        <f t="shared" si="7"/>
        <v>23.355183001646374</v>
      </c>
      <c r="AC25" s="38">
        <f t="shared" si="7"/>
        <v>23.045865413830487</v>
      </c>
      <c r="AD25" s="38">
        <f t="shared" si="7"/>
        <v>23.586705082581474</v>
      </c>
      <c r="AE25" s="38">
        <f t="shared" si="7"/>
        <v>23.95022827350757</v>
      </c>
      <c r="AF25" s="38">
        <f t="shared" si="7"/>
        <v>23.12021887831801</v>
      </c>
      <c r="AG25" s="38">
        <f t="shared" si="7"/>
        <v>23.522133355193681</v>
      </c>
      <c r="AH25" s="38">
        <f t="shared" si="7"/>
        <v>22.843959077320896</v>
      </c>
      <c r="AI25" s="38">
        <f t="shared" si="7"/>
        <v>23.389300314147949</v>
      </c>
      <c r="AJ25" s="38">
        <f t="shared" si="7"/>
        <v>22.863065465983222</v>
      </c>
      <c r="AK25" s="38">
        <f t="shared" si="7"/>
        <v>22.398184245862105</v>
      </c>
      <c r="AL25" s="38">
        <f t="shared" si="7"/>
        <v>23.792931857628403</v>
      </c>
      <c r="AM25" s="38">
        <f t="shared" si="7"/>
        <v>22.096365153176666</v>
      </c>
      <c r="AN25" s="38" t="str">
        <f t="shared" si="7"/>
        <v/>
      </c>
      <c r="AO25" s="38">
        <f t="shared" si="7"/>
        <v>22.450713339043141</v>
      </c>
      <c r="AP25" s="38">
        <f t="shared" si="7"/>
        <v>22.856531540925534</v>
      </c>
      <c r="AQ25" s="38" t="str">
        <f t="shared" si="7"/>
        <v/>
      </c>
      <c r="AR25" s="38">
        <f t="shared" si="7"/>
        <v>22.673343491762584</v>
      </c>
      <c r="AS25" s="38">
        <f t="shared" si="7"/>
        <v>23.060389280637221</v>
      </c>
    </row>
    <row r="27" spans="1:45" x14ac:dyDescent="0.25">
      <c r="A27" s="40" t="s">
        <v>86</v>
      </c>
      <c r="B27" s="40" t="s">
        <v>87</v>
      </c>
      <c r="C27" s="41">
        <f>IF(C123=0,"",C123)</f>
        <v>1094.9252300000001</v>
      </c>
      <c r="D27" s="41">
        <f t="shared" ref="D27:AS27" si="8">IF(D123=0,"",D123)</f>
        <v>1101.9495399999998</v>
      </c>
      <c r="E27" s="41">
        <f>IF(E123=0,"",E123)</f>
        <v>1070.8307799999998</v>
      </c>
      <c r="F27" s="41">
        <f>IF(F123=0,"",F123)</f>
        <v>1067.2647000000002</v>
      </c>
      <c r="G27" s="41">
        <f t="shared" si="8"/>
        <v>1073.11421</v>
      </c>
      <c r="H27" s="41">
        <f>IF(H123=0,"",H123)</f>
        <v>1091.30295</v>
      </c>
      <c r="I27" s="41">
        <f>IF(I123=0,"",I123)</f>
        <v>1061.5425299999997</v>
      </c>
      <c r="J27" s="41">
        <f>IF(J123=0,"",J123)</f>
        <v>1130.8339699999999</v>
      </c>
      <c r="K27" s="41">
        <f t="shared" si="8"/>
        <v>1087.76088</v>
      </c>
      <c r="L27" s="41">
        <f>IF(L123=0,"",L123)</f>
        <v>1129.74305</v>
      </c>
      <c r="M27" s="41">
        <f>IF(M123=0,"",M123)</f>
        <v>1117.8841399999997</v>
      </c>
      <c r="N27" s="41">
        <f t="shared" si="8"/>
        <v>1009.2934300000001</v>
      </c>
      <c r="O27" s="41">
        <f t="shared" si="8"/>
        <v>1008.51091</v>
      </c>
      <c r="P27" s="41">
        <f t="shared" si="8"/>
        <v>1009.16785</v>
      </c>
      <c r="Q27" s="41">
        <f t="shared" si="8"/>
        <v>1107.77197</v>
      </c>
      <c r="R27" s="41">
        <f>IF(R123=0,"",R123)</f>
        <v>1086.7968700000004</v>
      </c>
      <c r="S27" s="41">
        <f>IF(S123=0,"",S123)</f>
        <v>1033.4143899999997</v>
      </c>
      <c r="T27" s="41">
        <f t="shared" si="8"/>
        <v>1039.36094</v>
      </c>
      <c r="U27" s="41">
        <f t="shared" si="8"/>
        <v>1060.6363199999998</v>
      </c>
      <c r="V27" s="41">
        <f>IF(V123=0,"",V123)</f>
        <v>1094.2633399999997</v>
      </c>
      <c r="W27" s="41">
        <f t="shared" si="8"/>
        <v>1088.1161599999998</v>
      </c>
      <c r="X27" s="41">
        <f t="shared" si="8"/>
        <v>1036.5888299999999</v>
      </c>
      <c r="Y27" s="41">
        <f t="shared" si="8"/>
        <v>1095.6760299999999</v>
      </c>
      <c r="Z27" s="41">
        <f t="shared" si="8"/>
        <v>1098.1026399999998</v>
      </c>
      <c r="AA27" s="41">
        <f>IF(AA123=0,"",AA123)</f>
        <v>1121.0132199999998</v>
      </c>
      <c r="AB27" s="41">
        <f t="shared" si="8"/>
        <v>1091.81116</v>
      </c>
      <c r="AC27" s="41">
        <f t="shared" si="8"/>
        <v>1073.1100500000002</v>
      </c>
      <c r="AD27" s="41">
        <f t="shared" si="8"/>
        <v>1110.6814399999998</v>
      </c>
      <c r="AE27" s="41">
        <f t="shared" si="8"/>
        <v>1137.1372200000003</v>
      </c>
      <c r="AF27" s="41">
        <f t="shared" si="8"/>
        <v>1074.0246200000001</v>
      </c>
      <c r="AG27" s="41">
        <f t="shared" si="8"/>
        <v>1106.5909899999999</v>
      </c>
      <c r="AH27" s="41">
        <f t="shared" si="8"/>
        <v>1054.1942999999999</v>
      </c>
      <c r="AI27" s="41">
        <f t="shared" si="8"/>
        <v>1095.54946</v>
      </c>
      <c r="AJ27" s="41">
        <f>IF(AJ123=0,"",AJ123)</f>
        <v>1059.1042299999999</v>
      </c>
      <c r="AK27" s="41">
        <f t="shared" si="8"/>
        <v>1026.9384900000002</v>
      </c>
      <c r="AL27" s="41">
        <f>IF(AL123=0,"",AL123)</f>
        <v>1120.68226</v>
      </c>
      <c r="AM27" s="41">
        <f t="shared" si="8"/>
        <v>1009.0413699999999</v>
      </c>
      <c r="AN27" s="41" t="str">
        <f>IF(AN123=0,"",AN123)</f>
        <v/>
      </c>
      <c r="AO27" s="41">
        <f>IF(AO123=0,"",AO123)</f>
        <v>1030.01045</v>
      </c>
      <c r="AP27" s="41">
        <f>IF(AP123=0,"",AP123)</f>
        <v>1055.0993599999999</v>
      </c>
      <c r="AQ27" s="41" t="str">
        <f>IF(AQ123=0,"",AQ123)</f>
        <v/>
      </c>
      <c r="AR27" s="41">
        <f>IF(AR123=0,"",AR123)</f>
        <v>1043.8337900000001</v>
      </c>
      <c r="AS27" s="41">
        <f t="shared" si="8"/>
        <v>1068.7506800000001</v>
      </c>
    </row>
    <row r="28" spans="1:45" x14ac:dyDescent="0.25">
      <c r="A28" s="40" t="s">
        <v>88</v>
      </c>
      <c r="B28" s="40" t="s">
        <v>87</v>
      </c>
      <c r="C28" s="41">
        <f t="shared" ref="C28:AS28" si="9">IF(C18="","",C27/SQRT(C18/28.9626))</f>
        <v>1399.2451232108269</v>
      </c>
      <c r="D28" s="41">
        <f t="shared" si="9"/>
        <v>1398.3424316597072</v>
      </c>
      <c r="E28" s="41">
        <f t="shared" si="9"/>
        <v>1382.7426827287836</v>
      </c>
      <c r="F28" s="41">
        <f t="shared" si="9"/>
        <v>1384.7686763865504</v>
      </c>
      <c r="G28" s="41">
        <f t="shared" si="9"/>
        <v>1391.4452374759881</v>
      </c>
      <c r="H28" s="41">
        <f t="shared" si="9"/>
        <v>1400.2304697185511</v>
      </c>
      <c r="I28" s="41">
        <f t="shared" si="9"/>
        <v>1382.99888442928</v>
      </c>
      <c r="J28" s="41">
        <f t="shared" si="9"/>
        <v>1422.585820926234</v>
      </c>
      <c r="K28" s="41">
        <f t="shared" si="9"/>
        <v>1396.9455179912025</v>
      </c>
      <c r="L28" s="41">
        <f t="shared" si="9"/>
        <v>1421.4873692388974</v>
      </c>
      <c r="M28" s="41">
        <f t="shared" si="9"/>
        <v>1414.9442828527467</v>
      </c>
      <c r="N28" s="41">
        <f t="shared" si="9"/>
        <v>1354.9958484804406</v>
      </c>
      <c r="O28" s="41">
        <f t="shared" si="9"/>
        <v>1354.0390414605779</v>
      </c>
      <c r="P28" s="41">
        <f t="shared" si="9"/>
        <v>1355.055166661954</v>
      </c>
      <c r="Q28" s="41">
        <f t="shared" si="9"/>
        <v>1410.0425918164203</v>
      </c>
      <c r="R28" s="41">
        <f t="shared" si="9"/>
        <v>1395.9074257087925</v>
      </c>
      <c r="S28" s="41">
        <f t="shared" si="9"/>
        <v>1369.768600785032</v>
      </c>
      <c r="T28" s="41">
        <f t="shared" si="9"/>
        <v>1373.2588140512582</v>
      </c>
      <c r="U28" s="41">
        <f t="shared" si="9"/>
        <v>1385.185352830918</v>
      </c>
      <c r="V28" s="41">
        <f t="shared" si="9"/>
        <v>1402.4792281921402</v>
      </c>
      <c r="W28" s="41">
        <f t="shared" si="9"/>
        <v>1399.7390227637168</v>
      </c>
      <c r="X28" s="41">
        <f t="shared" si="9"/>
        <v>1367.9431408570133</v>
      </c>
      <c r="Y28" s="41">
        <f t="shared" si="9"/>
        <v>1400.5507150196972</v>
      </c>
      <c r="Z28" s="41">
        <f t="shared" si="9"/>
        <v>1402.6209707070359</v>
      </c>
      <c r="AA28" s="41">
        <f t="shared" si="9"/>
        <v>1416.4809309135851</v>
      </c>
      <c r="AB28" s="41">
        <f t="shared" si="9"/>
        <v>1401.7508978436035</v>
      </c>
      <c r="AC28" s="41">
        <f t="shared" si="9"/>
        <v>1382.5417280736153</v>
      </c>
      <c r="AD28" s="41">
        <f t="shared" si="9"/>
        <v>1409.1140879643999</v>
      </c>
      <c r="AE28" s="41">
        <f t="shared" si="9"/>
        <v>1422.1303787150678</v>
      </c>
      <c r="AF28" s="41">
        <f t="shared" si="9"/>
        <v>1384.1081302742364</v>
      </c>
      <c r="AG28" s="41">
        <f t="shared" si="9"/>
        <v>1403.602040148246</v>
      </c>
      <c r="AH28" s="41">
        <f t="shared" si="9"/>
        <v>1377.5515466650852</v>
      </c>
      <c r="AI28" s="41">
        <f t="shared" si="9"/>
        <v>1403.2266260110655</v>
      </c>
      <c r="AJ28" s="41">
        <f t="shared" si="9"/>
        <v>1380.8941456410585</v>
      </c>
      <c r="AK28" s="41">
        <f t="shared" si="9"/>
        <v>1366.4096794868303</v>
      </c>
      <c r="AL28" s="41">
        <f t="shared" si="9"/>
        <v>1413.284592430161</v>
      </c>
      <c r="AM28" s="41">
        <f t="shared" si="9"/>
        <v>1354.3374897235346</v>
      </c>
      <c r="AN28" s="41" t="str">
        <f t="shared" si="9"/>
        <v/>
      </c>
      <c r="AO28" s="41">
        <f t="shared" si="9"/>
        <v>1367.3867352194395</v>
      </c>
      <c r="AP28" s="41">
        <f t="shared" si="9"/>
        <v>1380.7290477623128</v>
      </c>
      <c r="AQ28" s="41" t="str">
        <f t="shared" si="9"/>
        <v/>
      </c>
      <c r="AR28" s="41">
        <f t="shared" si="9"/>
        <v>1375.2057526526869</v>
      </c>
      <c r="AS28" s="41">
        <f t="shared" si="9"/>
        <v>1389.3303477394868</v>
      </c>
    </row>
    <row r="29" spans="1:45" ht="5.15" customHeight="1" x14ac:dyDescent="0.25"/>
    <row r="30" spans="1:45" x14ac:dyDescent="0.25">
      <c r="A30" s="40" t="s">
        <v>89</v>
      </c>
      <c r="B30" s="40" t="s">
        <v>87</v>
      </c>
      <c r="C30" s="41">
        <f>IF(C137=0,"",C137)</f>
        <v>988.83543999999995</v>
      </c>
      <c r="D30" s="41">
        <f t="shared" ref="D30:AS30" si="10">IF(D137=0,"",D137)</f>
        <v>995.51779999999997</v>
      </c>
      <c r="E30" s="41">
        <f>IF(E137=0,"",E137)</f>
        <v>966.43319999999994</v>
      </c>
      <c r="F30" s="41">
        <f>IF(F137=0,"",F137)</f>
        <v>963.00372000000004</v>
      </c>
      <c r="G30" s="41">
        <f t="shared" si="10"/>
        <v>968.3707599999999</v>
      </c>
      <c r="H30" s="41">
        <f>IF(H137=0,"",H137)</f>
        <v>985.34193999999991</v>
      </c>
      <c r="I30" s="41">
        <f>IF(I137=0,"",I137)</f>
        <v>957.59072000000003</v>
      </c>
      <c r="J30" s="41">
        <f>IF(J137=0,"",J137)</f>
        <v>1022.2236999999999</v>
      </c>
      <c r="K30" s="41">
        <f t="shared" si="10"/>
        <v>982.07103999999993</v>
      </c>
      <c r="L30" s="41">
        <f>IF(L137=0,"",L137)</f>
        <v>1021.26792</v>
      </c>
      <c r="M30" s="41">
        <f>IF(M137=0,"",M137)</f>
        <v>1010.1770399999998</v>
      </c>
      <c r="N30" s="41">
        <f t="shared" si="10"/>
        <v>908.78409999999997</v>
      </c>
      <c r="O30" s="41">
        <f t="shared" si="10"/>
        <v>908.06689999999992</v>
      </c>
      <c r="P30" s="41">
        <f t="shared" si="10"/>
        <v>908.66351999999995</v>
      </c>
      <c r="Q30" s="41">
        <f t="shared" si="10"/>
        <v>1000.67886</v>
      </c>
      <c r="R30" s="41">
        <f>IF(R137=0,"",R137)</f>
        <v>981.18157999999994</v>
      </c>
      <c r="S30" s="41">
        <f>IF(S137=0,"",S137)</f>
        <v>931.27505999999971</v>
      </c>
      <c r="T30" s="41">
        <f t="shared" si="10"/>
        <v>936.81328000000008</v>
      </c>
      <c r="U30" s="41">
        <f t="shared" si="10"/>
        <v>956.69945999999993</v>
      </c>
      <c r="V30" s="41">
        <f>IF(V137=0,"",V137)</f>
        <v>988.09204</v>
      </c>
      <c r="W30" s="41">
        <f t="shared" si="10"/>
        <v>982.31749999999988</v>
      </c>
      <c r="X30" s="41">
        <f t="shared" si="10"/>
        <v>934.3288</v>
      </c>
      <c r="Y30" s="41">
        <f t="shared" si="10"/>
        <v>989.46674000000007</v>
      </c>
      <c r="Z30" s="41">
        <f t="shared" si="10"/>
        <v>991.71233999999993</v>
      </c>
      <c r="AA30" s="41">
        <f>IF(AA137=0,"",AA137)</f>
        <v>1013.06164</v>
      </c>
      <c r="AB30" s="41">
        <f t="shared" si="10"/>
        <v>985.78512000000001</v>
      </c>
      <c r="AC30" s="41">
        <f t="shared" si="10"/>
        <v>968.58402000000001</v>
      </c>
      <c r="AD30" s="41">
        <f t="shared" si="10"/>
        <v>1003.4688599999999</v>
      </c>
      <c r="AE30" s="41">
        <f t="shared" si="10"/>
        <v>1028.2100400000002</v>
      </c>
      <c r="AF30" s="41">
        <f t="shared" si="10"/>
        <v>969.43916000000013</v>
      </c>
      <c r="AG30" s="41">
        <f t="shared" si="10"/>
        <v>999.75297999999998</v>
      </c>
      <c r="AH30" s="41">
        <f t="shared" si="10"/>
        <v>950.8152</v>
      </c>
      <c r="AI30" s="41">
        <f t="shared" si="10"/>
        <v>989.28077999999982</v>
      </c>
      <c r="AJ30" s="41">
        <f>IF(AJ137=0,"",AJ137)</f>
        <v>955.33261999999991</v>
      </c>
      <c r="AK30" s="41">
        <f t="shared" si="10"/>
        <v>925.22008000000005</v>
      </c>
      <c r="AL30" s="41">
        <f>IF(AL137=0,"",AL137)</f>
        <v>1012.8873599999998</v>
      </c>
      <c r="AM30" s="41">
        <f t="shared" si="10"/>
        <v>908.56225999999992</v>
      </c>
      <c r="AN30" s="41" t="str">
        <f>IF(AN137=0,"",AN137)</f>
        <v/>
      </c>
      <c r="AO30" s="41">
        <f>IF(AO137=0,"",AO137)</f>
        <v>928.11263999999994</v>
      </c>
      <c r="AP30" s="41">
        <f>IF(AP137=0,"",AP137)</f>
        <v>951.56329999999991</v>
      </c>
      <c r="AQ30" s="41" t="str">
        <f>IF(AQ137=0,"",AQ137)</f>
        <v/>
      </c>
      <c r="AR30" s="41">
        <f>IF(AR137=0,"",AR137)</f>
        <v>941.0184999999999</v>
      </c>
      <c r="AS30" s="41">
        <f t="shared" si="10"/>
        <v>964.27523999999994</v>
      </c>
    </row>
    <row r="31" spans="1:45" x14ac:dyDescent="0.25">
      <c r="A31" s="40" t="s">
        <v>90</v>
      </c>
      <c r="B31" s="40" t="s">
        <v>87</v>
      </c>
      <c r="C31" s="41">
        <f t="shared" ref="C31:AS31" si="11">IF(C18="","",C30/SQRT(C18/28.9626))</f>
        <v>1263.6690882335702</v>
      </c>
      <c r="D31" s="41">
        <f t="shared" si="11"/>
        <v>1263.2835993674651</v>
      </c>
      <c r="E31" s="41">
        <f t="shared" si="11"/>
        <v>1247.9361450986337</v>
      </c>
      <c r="F31" s="41">
        <f t="shared" si="11"/>
        <v>1249.4907652241511</v>
      </c>
      <c r="G31" s="41">
        <f t="shared" si="11"/>
        <v>1255.6304534565832</v>
      </c>
      <c r="H31" s="41">
        <f t="shared" si="11"/>
        <v>1264.2738732444443</v>
      </c>
      <c r="I31" s="41">
        <f t="shared" si="11"/>
        <v>1247.5683828700028</v>
      </c>
      <c r="J31" s="41">
        <f t="shared" si="11"/>
        <v>1285.9544194933869</v>
      </c>
      <c r="K31" s="41">
        <f t="shared" si="11"/>
        <v>1261.2144478637242</v>
      </c>
      <c r="L31" s="41">
        <f t="shared" si="11"/>
        <v>1284.9996721722523</v>
      </c>
      <c r="M31" s="41">
        <f t="shared" si="11"/>
        <v>1278.6157136258419</v>
      </c>
      <c r="N31" s="41">
        <f t="shared" si="11"/>
        <v>1220.060139165905</v>
      </c>
      <c r="O31" s="41">
        <f t="shared" si="11"/>
        <v>1219.1816892274157</v>
      </c>
      <c r="P31" s="41">
        <f t="shared" si="11"/>
        <v>1220.1034719182123</v>
      </c>
      <c r="Q31" s="41">
        <f t="shared" si="11"/>
        <v>1273.7276727901869</v>
      </c>
      <c r="R31" s="41">
        <f t="shared" si="11"/>
        <v>1260.2526666190024</v>
      </c>
      <c r="S31" s="41">
        <f t="shared" si="11"/>
        <v>1234.3851103933214</v>
      </c>
      <c r="T31" s="41">
        <f t="shared" si="11"/>
        <v>1237.7674053060618</v>
      </c>
      <c r="U31" s="41">
        <f t="shared" si="11"/>
        <v>1249.4443703881918</v>
      </c>
      <c r="V31" s="41">
        <f t="shared" si="11"/>
        <v>1266.4031691329417</v>
      </c>
      <c r="W31" s="41">
        <f t="shared" si="11"/>
        <v>1263.6409494126965</v>
      </c>
      <c r="X31" s="41">
        <f t="shared" si="11"/>
        <v>1232.9948348615374</v>
      </c>
      <c r="Y31" s="41">
        <f t="shared" si="11"/>
        <v>1264.7884157830933</v>
      </c>
      <c r="Z31" s="41">
        <f t="shared" si="11"/>
        <v>1266.7272387150861</v>
      </c>
      <c r="AA31" s="41">
        <f t="shared" si="11"/>
        <v>1280.0763356742962</v>
      </c>
      <c r="AB31" s="41">
        <f t="shared" si="11"/>
        <v>1265.626536589775</v>
      </c>
      <c r="AC31" s="41">
        <f t="shared" si="11"/>
        <v>1247.8755788330272</v>
      </c>
      <c r="AD31" s="41">
        <f t="shared" si="11"/>
        <v>1273.0942073359722</v>
      </c>
      <c r="AE31" s="41">
        <f t="shared" si="11"/>
        <v>1285.9035021154568</v>
      </c>
      <c r="AF31" s="41">
        <f t="shared" si="11"/>
        <v>1249.3276207785873</v>
      </c>
      <c r="AG31" s="41">
        <f t="shared" si="11"/>
        <v>1268.0885124252536</v>
      </c>
      <c r="AH31" s="41">
        <f t="shared" si="11"/>
        <v>1242.4625606045038</v>
      </c>
      <c r="AI31" s="41">
        <f t="shared" si="11"/>
        <v>1267.1131535193263</v>
      </c>
      <c r="AJ31" s="41">
        <f t="shared" si="11"/>
        <v>1245.5933842299298</v>
      </c>
      <c r="AK31" s="41">
        <f t="shared" si="11"/>
        <v>1231.0665977351566</v>
      </c>
      <c r="AL31" s="41">
        <f t="shared" si="11"/>
        <v>1277.3451948416327</v>
      </c>
      <c r="AM31" s="41">
        <f t="shared" si="11"/>
        <v>1219.474212901639</v>
      </c>
      <c r="AN31" s="41" t="str">
        <f t="shared" si="11"/>
        <v/>
      </c>
      <c r="AO31" s="41">
        <f t="shared" si="11"/>
        <v>1232.1126574254608</v>
      </c>
      <c r="AP31" s="41">
        <f t="shared" si="11"/>
        <v>1245.2392058076539</v>
      </c>
      <c r="AQ31" s="41" t="str">
        <f t="shared" si="11"/>
        <v/>
      </c>
      <c r="AR31" s="41">
        <f t="shared" si="11"/>
        <v>1239.7510666450089</v>
      </c>
      <c r="AS31" s="41">
        <f t="shared" si="11"/>
        <v>1253.5167271245871</v>
      </c>
    </row>
    <row r="33" spans="1:45" x14ac:dyDescent="0.25">
      <c r="A33" s="42" t="s">
        <v>91</v>
      </c>
      <c r="B33" s="42" t="s">
        <v>92</v>
      </c>
      <c r="C33" s="36">
        <f>IF(C151=0,"",(C151*101.325)/(8.31451*273.15))</f>
        <v>43.188004766649605</v>
      </c>
      <c r="D33" s="36">
        <f t="shared" ref="D33:AS33" si="12">IF(D151=0,"",(D151*101.325)/(8.31451*273.15))</f>
        <v>43.464948911378613</v>
      </c>
      <c r="E33" s="36">
        <f>IF(E151=0,"",(E151*101.325)/(8.31451*273.15))</f>
        <v>42.237963650217324</v>
      </c>
      <c r="F33" s="36">
        <f>IF(F151=0,"",(F151*101.325)/(8.31451*273.15))</f>
        <v>42.097398943943816</v>
      </c>
      <c r="G33" s="36">
        <f t="shared" si="12"/>
        <v>42.328083496451534</v>
      </c>
      <c r="H33" s="36">
        <f>IF(H151=0,"",(H151*101.325)/(8.31451*273.15))</f>
        <v>43.045329156714999</v>
      </c>
      <c r="I33" s="36">
        <f>IF(I151=0,"",(I151*101.325)/(8.31451*273.15))</f>
        <v>41.871871681447629</v>
      </c>
      <c r="J33" s="36">
        <f>IF(J151=0,"",(J151*101.325)/(8.31451*273.15))</f>
        <v>44.603985638377758</v>
      </c>
      <c r="K33" s="36">
        <f t="shared" si="12"/>
        <v>42.905641710844066</v>
      </c>
      <c r="L33" s="36">
        <f>IF(L151=0,"",(L151*101.325)/(8.31451*273.15))</f>
        <v>44.560839934667818</v>
      </c>
      <c r="M33" s="36">
        <f>IF(M151=0,"",(M151*101.325)/(8.31451*273.15))</f>
        <v>44.093305156402266</v>
      </c>
      <c r="N33" s="36">
        <f t="shared" si="12"/>
        <v>39.811778007755358</v>
      </c>
      <c r="O33" s="36">
        <f t="shared" si="12"/>
        <v>39.780917831167386</v>
      </c>
      <c r="P33" s="36">
        <f t="shared" si="12"/>
        <v>39.806828265696439</v>
      </c>
      <c r="Q33" s="36">
        <f t="shared" si="12"/>
        <v>43.694728006943343</v>
      </c>
      <c r="R33" s="36">
        <f>IF(R151=0,"",(R151*101.325)/(8.31451*273.15))</f>
        <v>42.867624252924458</v>
      </c>
      <c r="S33" s="36">
        <f>IF(S151=0,"",(S151*101.325)/(8.31451*273.15))</f>
        <v>40.762831478141507</v>
      </c>
      <c r="T33" s="36">
        <f t="shared" si="12"/>
        <v>40.997309179173257</v>
      </c>
      <c r="U33" s="36">
        <f t="shared" si="12"/>
        <v>41.836119806628439</v>
      </c>
      <c r="V33" s="36">
        <f>IF(V151=0,"",(V151*101.325)/(8.31451*273.15))</f>
        <v>43.162041731295929</v>
      </c>
      <c r="W33" s="36">
        <f t="shared" si="12"/>
        <v>42.9197340026776</v>
      </c>
      <c r="X33" s="36">
        <f t="shared" si="12"/>
        <v>40.887963976919039</v>
      </c>
      <c r="Y33" s="36">
        <f t="shared" si="12"/>
        <v>43.217756310590275</v>
      </c>
      <c r="Z33" s="36">
        <f t="shared" si="12"/>
        <v>43.31343288295384</v>
      </c>
      <c r="AA33" s="36">
        <f>IF(AA151=0,"",(AA151*101.325)/(8.31451*273.15))</f>
        <v>44.216755678005548</v>
      </c>
      <c r="AB33" s="36">
        <f t="shared" si="12"/>
        <v>43.065363021762913</v>
      </c>
      <c r="AC33" s="36">
        <f t="shared" si="12"/>
        <v>42.327870282421948</v>
      </c>
      <c r="AD33" s="36">
        <f t="shared" si="12"/>
        <v>43.809386963239618</v>
      </c>
      <c r="AE33" s="36">
        <f t="shared" si="12"/>
        <v>44.852467606283774</v>
      </c>
      <c r="AF33" s="36">
        <f t="shared" si="12"/>
        <v>42.363862809359915</v>
      </c>
      <c r="AG33" s="36">
        <f t="shared" si="12"/>
        <v>43.648060011033657</v>
      </c>
      <c r="AH33" s="36">
        <f t="shared" si="12"/>
        <v>41.582056752923648</v>
      </c>
      <c r="AI33" s="36">
        <f t="shared" si="12"/>
        <v>43.21278363653488</v>
      </c>
      <c r="AJ33" s="36">
        <f>IF(AJ151=0,"",(AJ151*101.325)/(8.31451*273.15))</f>
        <v>41.775730401544358</v>
      </c>
      <c r="AK33" s="36">
        <f t="shared" si="12"/>
        <v>40.507509216909767</v>
      </c>
      <c r="AL33" s="36">
        <f t="shared" si="12"/>
        <v>44.203579996809808</v>
      </c>
      <c r="AM33" s="36">
        <f t="shared" si="12"/>
        <v>39.801832748874112</v>
      </c>
      <c r="AN33" s="36" t="str">
        <f>IF(AN151=0,"",(AN151*101.325)/(8.31451*273.15))</f>
        <v/>
      </c>
      <c r="AO33" s="36">
        <f>IF(AO151=0,"",(AO151*101.325)/(8.31451*273.15))</f>
        <v>40.62861228729286</v>
      </c>
      <c r="AP33" s="36">
        <f>IF(AP151=0,"",(AP151*101.325)/(8.31451*273.15))</f>
        <v>41.61779618021945</v>
      </c>
      <c r="AQ33" s="36" t="str">
        <f>IF(AQ151=0,"",(AQ151*101.325)/(8.31451*273.15))</f>
        <v/>
      </c>
      <c r="AR33" s="36">
        <f>IF(AR151=0,"",(AR151*101.325)/(8.31451*273.15))</f>
        <v>41.173637984715462</v>
      </c>
      <c r="AS33" s="36">
        <f t="shared" si="12"/>
        <v>42.156069118513038</v>
      </c>
    </row>
    <row r="34" spans="1:45" x14ac:dyDescent="0.25">
      <c r="A34" s="42" t="s">
        <v>93</v>
      </c>
      <c r="B34" s="42" t="s">
        <v>92</v>
      </c>
      <c r="C34" s="36">
        <f>IF(C$18="","",C33/SQRT(C$18/28.9626))</f>
        <v>55.191535819245303</v>
      </c>
      <c r="D34" s="36">
        <f t="shared" ref="D34:AS34" si="13">IF(D$18="","",D33/SQRT(D$18/28.9626))</f>
        <v>55.155776327745578</v>
      </c>
      <c r="E34" s="36">
        <f>IF(E$18="","",E33/SQRT(E$18/28.9626))</f>
        <v>54.54105005340093</v>
      </c>
      <c r="F34" s="36">
        <f>IF(F$18="","",F33/SQRT(F$18/28.9626))</f>
        <v>54.621088296953538</v>
      </c>
      <c r="G34" s="36">
        <f t="shared" si="13"/>
        <v>54.884381963988211</v>
      </c>
      <c r="H34" s="36">
        <f>IF(H$18="","",H33/SQRT(H$18/28.9626))</f>
        <v>55.230659336435117</v>
      </c>
      <c r="I34" s="36">
        <f>IF(I$18="","",I33/SQRT(I$18/28.9626))</f>
        <v>54.551513658532407</v>
      </c>
      <c r="J34" s="36">
        <f>IF(J$18="","",J33/SQRT(J$18/28.9626))</f>
        <v>56.111683243786509</v>
      </c>
      <c r="K34" s="36">
        <f t="shared" si="13"/>
        <v>55.101121015217977</v>
      </c>
      <c r="L34" s="36">
        <f>IF(L$18="","",L33/SQRT(L$18/28.9626))</f>
        <v>56.068210492471316</v>
      </c>
      <c r="M34" s="36">
        <f>IF(M$18="","",M33/SQRT(M$18/28.9626))</f>
        <v>55.8104080831963</v>
      </c>
      <c r="N34" s="36">
        <f t="shared" si="13"/>
        <v>53.448077950069901</v>
      </c>
      <c r="O34" s="36">
        <f t="shared" si="13"/>
        <v>53.410345207406728</v>
      </c>
      <c r="P34" s="36">
        <f t="shared" si="13"/>
        <v>53.450422850725047</v>
      </c>
      <c r="Q34" s="36">
        <f t="shared" si="13"/>
        <v>55.617427770467884</v>
      </c>
      <c r="R34" s="36">
        <f>IF(R$18="","",R33/SQRT(R$18/28.9626))</f>
        <v>55.060183433498075</v>
      </c>
      <c r="S34" s="36">
        <f>IF(S$18="","",S33/SQRT(S$18/28.9626))</f>
        <v>54.030258508254342</v>
      </c>
      <c r="T34" s="36">
        <f t="shared" si="13"/>
        <v>54.167819874666662</v>
      </c>
      <c r="U34" s="36">
        <f t="shared" si="13"/>
        <v>54.637748380539314</v>
      </c>
      <c r="V34" s="36">
        <f>IF(V$18="","",V33/SQRT(V$18/28.9626))</f>
        <v>55.319286283048534</v>
      </c>
      <c r="W34" s="36">
        <f t="shared" si="13"/>
        <v>55.211409166266428</v>
      </c>
      <c r="X34" s="36">
        <f t="shared" si="13"/>
        <v>53.958144489975886</v>
      </c>
      <c r="Y34" s="36">
        <f t="shared" si="13"/>
        <v>55.243208617372275</v>
      </c>
      <c r="Z34" s="36">
        <f t="shared" si="13"/>
        <v>55.324818520555397</v>
      </c>
      <c r="AA34" s="36">
        <f>IF(AA$18="","",AA33/SQRT(AA$18/28.9626))</f>
        <v>55.8710549771749</v>
      </c>
      <c r="AB34" s="36">
        <f t="shared" si="13"/>
        <v>55.290615715740522</v>
      </c>
      <c r="AC34" s="36">
        <f t="shared" si="13"/>
        <v>54.533127264939374</v>
      </c>
      <c r="AD34" s="36">
        <f t="shared" si="13"/>
        <v>55.580675188904635</v>
      </c>
      <c r="AE34" s="36">
        <f t="shared" si="13"/>
        <v>56.093544051991927</v>
      </c>
      <c r="AF34" s="36">
        <f t="shared" si="13"/>
        <v>54.594807095071438</v>
      </c>
      <c r="AG34" s="36">
        <f t="shared" si="13"/>
        <v>55.363279326899196</v>
      </c>
      <c r="AH34" s="36">
        <f t="shared" si="13"/>
        <v>54.336687832124809</v>
      </c>
      <c r="AI34" s="36">
        <f t="shared" si="13"/>
        <v>55.348782320463215</v>
      </c>
      <c r="AJ34" s="36">
        <f>IF(AJ$18="","",AJ33/SQRT(AJ$18/28.9626))</f>
        <v>54.46854040170512</v>
      </c>
      <c r="AK34" s="36">
        <f t="shared" si="13"/>
        <v>53.897923999213901</v>
      </c>
      <c r="AL34" s="36">
        <f t="shared" si="13"/>
        <v>55.744826851944062</v>
      </c>
      <c r="AM34" s="36">
        <f t="shared" si="13"/>
        <v>53.422105231925372</v>
      </c>
      <c r="AN34" s="36" t="str">
        <f>IF(AN$18="","",AN33/SQRT(AN$18/28.9626))</f>
        <v/>
      </c>
      <c r="AO34" s="36">
        <f>IF(AO$18="","",AO33/SQRT(AO$18/28.9626))</f>
        <v>53.936370754313984</v>
      </c>
      <c r="AP34" s="36">
        <f>IF(AP$18="","",AP33/SQRT(AP$18/28.9626))</f>
        <v>54.46207463331266</v>
      </c>
      <c r="AQ34" s="36" t="str">
        <f>IF(AQ$18="","",AQ33/SQRT(AQ$18/28.9626))</f>
        <v/>
      </c>
      <c r="AR34" s="36">
        <f>IF(AR$18="","",AR33/SQRT(AR$18/28.9626))</f>
        <v>54.244482557151059</v>
      </c>
      <c r="AS34" s="36">
        <f t="shared" si="13"/>
        <v>54.801093710418556</v>
      </c>
    </row>
    <row r="35" spans="1:45" ht="5.15" customHeight="1" x14ac:dyDescent="0.25"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</row>
    <row r="36" spans="1:45" x14ac:dyDescent="0.25">
      <c r="A36" s="42" t="s">
        <v>94</v>
      </c>
      <c r="B36" s="42" t="s">
        <v>92</v>
      </c>
      <c r="C36" s="36">
        <f>IF(C165=0,"",(C165*101.325)/(8.31451*273.15))</f>
        <v>38.945796310571232</v>
      </c>
      <c r="D36" s="36">
        <f t="shared" ref="D36:AS36" si="14">IF(D165=0,"",(D165*101.325)/(8.31451*273.15))</f>
        <v>39.209065668570062</v>
      </c>
      <c r="E36" s="36">
        <f>IF(E165=0,"",(E165*101.325)/(8.31451*273.15))</f>
        <v>38.063522812941073</v>
      </c>
      <c r="F36" s="36">
        <f>IF(F165=0,"",(F165*101.325)/(8.31451*273.15))</f>
        <v>37.928389465267479</v>
      </c>
      <c r="G36" s="36">
        <f t="shared" si="14"/>
        <v>38.13976862284138</v>
      </c>
      <c r="H36" s="36">
        <f>IF(H165=0,"",(H165*101.325)/(8.31451*273.15))</f>
        <v>38.808543493198947</v>
      </c>
      <c r="I36" s="36">
        <f>IF(I165=0,"",(I165*101.325)/(8.31451*273.15))</f>
        <v>37.715523475563337</v>
      </c>
      <c r="J36" s="36">
        <f>IF(J165=0,"",(J165*101.325)/(8.31451*273.15))</f>
        <v>40.26102509881445</v>
      </c>
      <c r="K36" s="36">
        <f t="shared" si="14"/>
        <v>38.67971537380464</v>
      </c>
      <c r="L36" s="36">
        <f>IF(L165=0,"",(L165*101.325)/(8.31451*273.15))</f>
        <v>40.222916492901021</v>
      </c>
      <c r="M36" s="36">
        <f>IF(M165=0,"",(M165*101.325)/(8.31451*273.15))</f>
        <v>39.786344282141592</v>
      </c>
      <c r="N36" s="36">
        <f t="shared" si="14"/>
        <v>35.79337562060801</v>
      </c>
      <c r="O36" s="36">
        <f t="shared" si="14"/>
        <v>35.765129691619592</v>
      </c>
      <c r="P36" s="36">
        <f t="shared" si="14"/>
        <v>35.788626957358765</v>
      </c>
      <c r="Q36" s="36">
        <f t="shared" si="14"/>
        <v>39.412694792856421</v>
      </c>
      <c r="R36" s="36">
        <f>IF(R165=0,"",(R165*101.325)/(8.31451*273.15))</f>
        <v>38.644712134979727</v>
      </c>
      <c r="S36" s="36">
        <f>IF(S165=0,"",(S165*101.325)/(8.31451*273.15))</f>
        <v>36.679076871720873</v>
      </c>
      <c r="T36" s="36">
        <f t="shared" si="14"/>
        <v>36.897265003045554</v>
      </c>
      <c r="U36" s="36">
        <f t="shared" si="14"/>
        <v>37.680178665989189</v>
      </c>
      <c r="V36" s="36">
        <f>IF(V165=0,"",(V165*101.325)/(8.31451*273.15))</f>
        <v>38.916811560839953</v>
      </c>
      <c r="W36" s="36">
        <f t="shared" si="14"/>
        <v>38.689581441452873</v>
      </c>
      <c r="X36" s="36">
        <f t="shared" si="14"/>
        <v>36.799382809844758</v>
      </c>
      <c r="Y36" s="36">
        <f t="shared" si="14"/>
        <v>38.971115956194666</v>
      </c>
      <c r="Z36" s="36">
        <f t="shared" si="14"/>
        <v>39.059552442196463</v>
      </c>
      <c r="AA36" s="36">
        <f>IF(AA165=0,"",(AA165*101.325)/(8.31451*273.15))</f>
        <v>39.900335578267772</v>
      </c>
      <c r="AB36" s="36">
        <f t="shared" si="14"/>
        <v>38.825963199876867</v>
      </c>
      <c r="AC36" s="36">
        <f t="shared" si="14"/>
        <v>38.148399173410397</v>
      </c>
      <c r="AD36" s="36">
        <f t="shared" si="14"/>
        <v>39.522529865385799</v>
      </c>
      <c r="AE36" s="36">
        <f t="shared" si="14"/>
        <v>40.496838878637661</v>
      </c>
      <c r="AF36" s="36">
        <f t="shared" si="14"/>
        <v>38.18178441265438</v>
      </c>
      <c r="AG36" s="36">
        <f t="shared" si="14"/>
        <v>39.376085109678357</v>
      </c>
      <c r="AH36" s="36">
        <f t="shared" si="14"/>
        <v>37.448437233977977</v>
      </c>
      <c r="AI36" s="36">
        <f t="shared" si="14"/>
        <v>38.963730291808503</v>
      </c>
      <c r="AJ36" s="36">
        <f>IF(AJ165=0,"",(AJ165*101.325)/(8.31451*273.15))</f>
        <v>37.626621255881915</v>
      </c>
      <c r="AK36" s="36">
        <f t="shared" si="14"/>
        <v>36.440644873582805</v>
      </c>
      <c r="AL36" s="36">
        <f t="shared" si="14"/>
        <v>39.893002336247136</v>
      </c>
      <c r="AM36" s="36">
        <f t="shared" si="14"/>
        <v>35.784637013043877</v>
      </c>
      <c r="AN36" s="36" t="str">
        <f>IF(AN165=0,"",(AN165*101.325)/(8.31451*273.15))</f>
        <v/>
      </c>
      <c r="AO36" s="36">
        <f>IF(AO165=0,"",(AO165*101.325)/(8.31451*273.15))</f>
        <v>36.554510222187417</v>
      </c>
      <c r="AP36" s="36">
        <f>IF(AP165=0,"",(AP165*101.325)/(8.31451*273.15))</f>
        <v>37.47794129973866</v>
      </c>
      <c r="AQ36" s="36" t="str">
        <f>IF(AQ165=0,"",(AQ165*101.325)/(8.31451*273.15))</f>
        <v/>
      </c>
      <c r="AR36" s="36">
        <f>IF(AR165=0,"",(AR165*101.325)/(8.31451*273.15))</f>
        <v>37.06273787283434</v>
      </c>
      <c r="AS36" s="36">
        <f t="shared" si="14"/>
        <v>37.978609154516384</v>
      </c>
    </row>
    <row r="37" spans="1:45" x14ac:dyDescent="0.25">
      <c r="A37" s="42" t="s">
        <v>95</v>
      </c>
      <c r="B37" s="42" t="s">
        <v>92</v>
      </c>
      <c r="C37" s="36">
        <f>IF(C$18="","",C36/SQRT(C$18/28.9626))</f>
        <v>49.770261990518755</v>
      </c>
      <c r="D37" s="36">
        <f t="shared" ref="D37:AS37" si="15">IF(D$18="","",D36/SQRT(D$18/28.9626))</f>
        <v>49.7551822836583</v>
      </c>
      <c r="E37" s="36">
        <f>IF(E$18="","",E36/SQRT(E$18/28.9626))</f>
        <v>49.150676868360478</v>
      </c>
      <c r="F37" s="36">
        <f>IF(F$18="","",F36/SQRT(F$18/28.9626))</f>
        <v>49.211826904133545</v>
      </c>
      <c r="G37" s="36">
        <f t="shared" si="15"/>
        <v>49.453635889034366</v>
      </c>
      <c r="H37" s="36">
        <f>IF(H$18="","",H36/SQRT(H$18/28.9626))</f>
        <v>49.794518639003755</v>
      </c>
      <c r="I37" s="36">
        <f>IF(I$18="","",I36/SQRT(I$18/28.9626))</f>
        <v>49.136539910813021</v>
      </c>
      <c r="J37" s="36">
        <f>IF(J$18="","",J36/SQRT(J$18/28.9626))</f>
        <v>50.648251609852743</v>
      </c>
      <c r="K37" s="36">
        <f t="shared" si="15"/>
        <v>49.674019375114682</v>
      </c>
      <c r="L37" s="36">
        <f>IF(L$18="","",L36/SQRT(L$18/28.9626))</f>
        <v>50.61006372078122</v>
      </c>
      <c r="M37" s="36">
        <f>IF(M$18="","",M36/SQRT(M$18/28.9626))</f>
        <v>50.358940039731962</v>
      </c>
      <c r="N37" s="36">
        <f t="shared" si="15"/>
        <v>48.053295431661404</v>
      </c>
      <c r="O37" s="36">
        <f t="shared" si="15"/>
        <v>48.018699099005133</v>
      </c>
      <c r="P37" s="36">
        <f t="shared" si="15"/>
        <v>48.055002808805575</v>
      </c>
      <c r="Q37" s="36">
        <f t="shared" si="15"/>
        <v>50.166983658368608</v>
      </c>
      <c r="R37" s="36">
        <f>IF(R$18="","",R36/SQRT(R$18/28.9626))</f>
        <v>49.636175924574452</v>
      </c>
      <c r="S37" s="36">
        <f>IF(S$18="","",S36/SQRT(S$18/28.9626))</f>
        <v>48.617329399355228</v>
      </c>
      <c r="T37" s="36">
        <f t="shared" si="15"/>
        <v>48.750623993833493</v>
      </c>
      <c r="U37" s="36">
        <f t="shared" si="15"/>
        <v>49.210111511342802</v>
      </c>
      <c r="V37" s="36">
        <f>IF(V$18="","",V36/SQRT(V$18/28.9626))</f>
        <v>49.878322563146263</v>
      </c>
      <c r="W37" s="36">
        <f t="shared" si="15"/>
        <v>49.769793803996528</v>
      </c>
      <c r="X37" s="36">
        <f t="shared" si="15"/>
        <v>48.562614071867458</v>
      </c>
      <c r="Y37" s="36">
        <f t="shared" si="15"/>
        <v>49.814929617073012</v>
      </c>
      <c r="Z37" s="36">
        <f t="shared" si="15"/>
        <v>49.891280984313077</v>
      </c>
      <c r="AA37" s="36">
        <f>IF(AA$18="","",AA36/SQRT(AA$18/28.9626))</f>
        <v>50.416947343109108</v>
      </c>
      <c r="AB37" s="36">
        <f t="shared" si="15"/>
        <v>49.847749106237487</v>
      </c>
      <c r="AC37" s="36">
        <f t="shared" si="15"/>
        <v>49.148504122618995</v>
      </c>
      <c r="AD37" s="36">
        <f t="shared" si="15"/>
        <v>50.141968362511648</v>
      </c>
      <c r="AE37" s="36">
        <f t="shared" si="15"/>
        <v>50.646292987613265</v>
      </c>
      <c r="AF37" s="36">
        <f t="shared" si="15"/>
        <v>49.205313593214491</v>
      </c>
      <c r="AG37" s="36">
        <f t="shared" si="15"/>
        <v>49.944698531293405</v>
      </c>
      <c r="AH37" s="36">
        <f t="shared" si="15"/>
        <v>48.935146615625534</v>
      </c>
      <c r="AI37" s="36">
        <f t="shared" si="15"/>
        <v>49.906412983106755</v>
      </c>
      <c r="AJ37" s="36">
        <f>IF(AJ$18="","",AJ36/SQRT(AJ$18/28.9626))</f>
        <v>49.058798502297314</v>
      </c>
      <c r="AK37" s="36">
        <f t="shared" si="15"/>
        <v>48.48669162454479</v>
      </c>
      <c r="AL37" s="36">
        <f t="shared" si="15"/>
        <v>50.308787387781521</v>
      </c>
      <c r="AM37" s="36">
        <f t="shared" si="15"/>
        <v>48.030216504318084</v>
      </c>
      <c r="AN37" s="36" t="str">
        <f>IF(AN$18="","",AN36/SQRT(AN$18/28.9626))</f>
        <v/>
      </c>
      <c r="AO37" s="36">
        <f>IF(AO$18="","",AO36/SQRT(AO$18/28.9626))</f>
        <v>48.527810946250575</v>
      </c>
      <c r="AP37" s="36">
        <f>IF(AP$18="","",AP36/SQRT(AP$18/28.9626))</f>
        <v>49.044558422327178</v>
      </c>
      <c r="AQ37" s="36" t="str">
        <f>IF(AQ$18="","",AQ36/SQRT(AQ$18/28.9626))</f>
        <v/>
      </c>
      <c r="AR37" s="36">
        <f>IF(AR$18="","",AR36/SQRT(AR$18/28.9626))</f>
        <v>48.828549928222181</v>
      </c>
      <c r="AS37" s="36">
        <f t="shared" si="15"/>
        <v>49.370573746260732</v>
      </c>
    </row>
    <row r="39" spans="1:45" x14ac:dyDescent="0.25">
      <c r="A39" s="44" t="s">
        <v>91</v>
      </c>
      <c r="B39" s="44" t="s">
        <v>96</v>
      </c>
      <c r="C39" s="36">
        <f>IF(C151=0,"",(C151*101.325)/(8.31451*288.15))</f>
        <v>40.939800458130627</v>
      </c>
      <c r="D39" s="36">
        <f t="shared" ref="D39:AS39" si="16">IF(D151=0,"",(D151*101.325)/(8.31451*288.15))</f>
        <v>41.202327937334957</v>
      </c>
      <c r="E39" s="36">
        <f>IF(E151=0,"",(E151*101.325)/(8.31451*288.15))</f>
        <v>40.039214891746873</v>
      </c>
      <c r="F39" s="36">
        <f>IF(F151=0,"",(F151*101.325)/(8.31451*288.15))</f>
        <v>39.905967452848351</v>
      </c>
      <c r="G39" s="36">
        <f t="shared" si="16"/>
        <v>40.12464343937441</v>
      </c>
      <c r="H39" s="36">
        <f>IF(H151=0,"",(H151*101.325)/(8.31451*288.15))</f>
        <v>40.804552001237909</v>
      </c>
      <c r="I39" s="36">
        <f>IF(I151=0,"",(I151*101.325)/(8.31451*288.15))</f>
        <v>39.692180287306684</v>
      </c>
      <c r="J39" s="36">
        <f>IF(J151=0,"",(J151*101.325)/(8.31451*288.15))</f>
        <v>42.2820707170671</v>
      </c>
      <c r="K39" s="36">
        <f t="shared" si="16"/>
        <v>40.672136155880814</v>
      </c>
      <c r="L39" s="36">
        <f>IF(L151=0,"",(L151*101.325)/(8.31451*288.15))</f>
        <v>42.241171015632531</v>
      </c>
      <c r="M39" s="36">
        <f>IF(M151=0,"",(M151*101.325)/(8.31451*288.15))</f>
        <v>41.797974330977894</v>
      </c>
      <c r="N39" s="36">
        <f t="shared" si="16"/>
        <v>37.739327304592663</v>
      </c>
      <c r="O39" s="36">
        <f t="shared" si="16"/>
        <v>37.710073592168563</v>
      </c>
      <c r="P39" s="36">
        <f t="shared" si="16"/>
        <v>37.734635227398861</v>
      </c>
      <c r="Q39" s="36">
        <f t="shared" si="16"/>
        <v>41.420145601584501</v>
      </c>
      <c r="R39" s="36">
        <f>IF(R151=0,"",(R151*101.325)/(8.31451*288.15))</f>
        <v>40.636097743141818</v>
      </c>
      <c r="S39" s="36">
        <f>IF(S151=0,"",(S151*101.325)/(8.31451*288.15))</f>
        <v>38.64087252560941</v>
      </c>
      <c r="T39" s="36">
        <f t="shared" si="16"/>
        <v>38.863144203682722</v>
      </c>
      <c r="U39" s="36">
        <f t="shared" si="16"/>
        <v>39.658289519974169</v>
      </c>
      <c r="V39" s="36">
        <f>IF(V151=0,"",(V151*101.325)/(8.31451*288.15))</f>
        <v>40.915188960275842</v>
      </c>
      <c r="W39" s="36">
        <f t="shared" si="16"/>
        <v>40.685494856260235</v>
      </c>
      <c r="X39" s="36">
        <f t="shared" si="16"/>
        <v>38.759491099411541</v>
      </c>
      <c r="Y39" s="36">
        <f t="shared" si="16"/>
        <v>40.968003249133211</v>
      </c>
      <c r="Z39" s="36">
        <f t="shared" si="16"/>
        <v>41.05869926072824</v>
      </c>
      <c r="AA39" s="36">
        <f>IF(AA151=0,"",(AA151*101.325)/(8.31451*288.15))</f>
        <v>41.914998484980792</v>
      </c>
      <c r="AB39" s="36">
        <f t="shared" si="16"/>
        <v>40.823542978985046</v>
      </c>
      <c r="AC39" s="36">
        <f t="shared" si="16"/>
        <v>40.124441324461408</v>
      </c>
      <c r="AD39" s="36">
        <f t="shared" si="16"/>
        <v>41.528835845944478</v>
      </c>
      <c r="AE39" s="36">
        <f t="shared" si="16"/>
        <v>42.51761765280726</v>
      </c>
      <c r="AF39" s="36">
        <f t="shared" si="16"/>
        <v>40.158560216472878</v>
      </c>
      <c r="AG39" s="36">
        <f t="shared" si="16"/>
        <v>41.375906965170373</v>
      </c>
      <c r="AH39" s="36">
        <f t="shared" si="16"/>
        <v>39.417452028669423</v>
      </c>
      <c r="AI39" s="36">
        <f t="shared" si="16"/>
        <v>40.963289433695998</v>
      </c>
      <c r="AJ39" s="36">
        <f>IF(AJ151=0,"",(AJ151*101.325)/(8.31451*288.15))</f>
        <v>39.601043759090203</v>
      </c>
      <c r="AK39" s="36">
        <f t="shared" si="16"/>
        <v>38.398841376362668</v>
      </c>
      <c r="AL39" s="36">
        <f t="shared" si="16"/>
        <v>41.902508679953492</v>
      </c>
      <c r="AM39" s="36">
        <f t="shared" si="16"/>
        <v>37.729899758302842</v>
      </c>
      <c r="AN39" s="36" t="str">
        <f>IF(AN151=0,"",(AN151*101.325)/(8.31451*288.15))</f>
        <v/>
      </c>
      <c r="AO39" s="36">
        <f>IF(AO151=0,"",(AO151*101.325)/(8.31451*288.15))</f>
        <v>38.513640278584226</v>
      </c>
      <c r="AP39" s="36">
        <f>IF(AP151=0,"",(AP151*101.325)/(8.31451*288.15))</f>
        <v>39.45133099644957</v>
      </c>
      <c r="AQ39" s="36" t="str">
        <f>IF(AQ151=0,"",(AQ151*101.325)/(8.31451*288.15))</f>
        <v/>
      </c>
      <c r="AR39" s="36">
        <f>IF(AR151=0,"",(AR151*101.325)/(8.31451*288.15))</f>
        <v>39.030293998004609</v>
      </c>
      <c r="AS39" s="36">
        <f t="shared" si="16"/>
        <v>39.961583479860614</v>
      </c>
    </row>
    <row r="40" spans="1:45" x14ac:dyDescent="0.25">
      <c r="A40" s="44" t="s">
        <v>93</v>
      </c>
      <c r="B40" s="44" t="s">
        <v>96</v>
      </c>
      <c r="C40" s="36">
        <f>IF(C$18="","",C39/SQRT(C$18/28.9626))</f>
        <v>52.318473048852525</v>
      </c>
      <c r="D40" s="36">
        <f t="shared" ref="D40:AS40" si="17">IF(D$18="","",D39/SQRT(D$18/28.9626))</f>
        <v>52.284575061335083</v>
      </c>
      <c r="E40" s="36">
        <f>IF(E$18="","",E39/SQRT(E$18/28.9626))</f>
        <v>51.7018491136091</v>
      </c>
      <c r="F40" s="36">
        <f>IF(F$18="","",F39/SQRT(F$18/28.9626))</f>
        <v>51.777720868689428</v>
      </c>
      <c r="G40" s="36">
        <f t="shared" si="17"/>
        <v>52.027308462479191</v>
      </c>
      <c r="H40" s="36">
        <f>IF(H$18="","",H39/SQRT(H$18/28.9626))</f>
        <v>52.355559943596226</v>
      </c>
      <c r="I40" s="36">
        <f>IF(I$18="","",I39/SQRT(I$18/28.9626))</f>
        <v>51.71176802300235</v>
      </c>
      <c r="J40" s="36">
        <f>IF(J$18="","",J39/SQRT(J$18/28.9626))</f>
        <v>53.190721075968369</v>
      </c>
      <c r="K40" s="36">
        <f t="shared" si="17"/>
        <v>52.232764897819855</v>
      </c>
      <c r="L40" s="36">
        <f>IF(L$18="","",L39/SQRT(L$18/28.9626))</f>
        <v>53.149511351790871</v>
      </c>
      <c r="M40" s="36">
        <f>IF(M$18="","",M39/SQRT(M$18/28.9626))</f>
        <v>52.905129161634811</v>
      </c>
      <c r="N40" s="36">
        <f t="shared" si="17"/>
        <v>50.665773007328106</v>
      </c>
      <c r="O40" s="36">
        <f t="shared" si="17"/>
        <v>50.630004488645312</v>
      </c>
      <c r="P40" s="36">
        <f t="shared" si="17"/>
        <v>50.667995841317186</v>
      </c>
      <c r="Q40" s="36">
        <f t="shared" si="17"/>
        <v>52.722194674660081</v>
      </c>
      <c r="R40" s="36">
        <f>IF(R$18="","",R39/SQRT(R$18/28.9626))</f>
        <v>52.193958371889636</v>
      </c>
      <c r="S40" s="36">
        <f>IF(S$18="","",S39/SQRT(S$18/28.9626))</f>
        <v>51.217647445877745</v>
      </c>
      <c r="T40" s="36">
        <f t="shared" si="17"/>
        <v>51.348047887437801</v>
      </c>
      <c r="U40" s="36">
        <f t="shared" si="17"/>
        <v>51.793513691286869</v>
      </c>
      <c r="V40" s="36">
        <f>IF(V$18="","",V39/SQRT(V$18/28.9626))</f>
        <v>52.439573306315147</v>
      </c>
      <c r="W40" s="36">
        <f t="shared" si="17"/>
        <v>52.337311864534705</v>
      </c>
      <c r="X40" s="36">
        <f t="shared" si="17"/>
        <v>51.149287410851684</v>
      </c>
      <c r="Y40" s="36">
        <f t="shared" si="17"/>
        <v>52.367455956395069</v>
      </c>
      <c r="Z40" s="36">
        <f t="shared" si="17"/>
        <v>52.44481755644528</v>
      </c>
      <c r="AA40" s="36">
        <f>IF(AA$18="","",AA39/SQRT(AA$18/28.9626))</f>
        <v>52.962619007514576</v>
      </c>
      <c r="AB40" s="36">
        <f t="shared" si="17"/>
        <v>52.41239522038704</v>
      </c>
      <c r="AC40" s="36">
        <f t="shared" si="17"/>
        <v>51.69433875557241</v>
      </c>
      <c r="AD40" s="36">
        <f t="shared" si="17"/>
        <v>52.687355293594663</v>
      </c>
      <c r="AE40" s="36">
        <f t="shared" si="17"/>
        <v>53.173526141945494</v>
      </c>
      <c r="AF40" s="36">
        <f t="shared" si="17"/>
        <v>51.752807766853245</v>
      </c>
      <c r="AG40" s="36">
        <f t="shared" si="17"/>
        <v>52.481276238565037</v>
      </c>
      <c r="AH40" s="36">
        <f t="shared" si="17"/>
        <v>51.50812521723023</v>
      </c>
      <c r="AI40" s="36">
        <f t="shared" si="17"/>
        <v>52.46753389149584</v>
      </c>
      <c r="AJ40" s="36">
        <f>IF(AJ$18="","",AJ39/SQRT(AJ$18/28.9626))</f>
        <v>51.633114040346193</v>
      </c>
      <c r="AK40" s="36">
        <f t="shared" si="17"/>
        <v>51.092201771248575</v>
      </c>
      <c r="AL40" s="36">
        <f t="shared" si="17"/>
        <v>52.842961841431617</v>
      </c>
      <c r="AM40" s="36">
        <f t="shared" si="17"/>
        <v>50.641152330731963</v>
      </c>
      <c r="AN40" s="36" t="str">
        <f>IF(AN$18="","",AN39/SQRT(AN$18/28.9626))</f>
        <v/>
      </c>
      <c r="AO40" s="36">
        <f>IF(AO$18="","",AO39/SQRT(AO$18/28.9626))</f>
        <v>51.128647133579264</v>
      </c>
      <c r="AP40" s="36">
        <f>IF(AP$18="","",AP39/SQRT(AP$18/28.9626))</f>
        <v>51.626984855420282</v>
      </c>
      <c r="AQ40" s="36" t="str">
        <f>IF(AQ$18="","",AQ39/SQRT(AQ$18/28.9626))</f>
        <v/>
      </c>
      <c r="AR40" s="36">
        <f>IF(AR$18="","",AR39/SQRT(AR$18/28.9626))</f>
        <v>51.420719800401912</v>
      </c>
      <c r="AS40" s="36">
        <f t="shared" si="17"/>
        <v>51.94835588062061</v>
      </c>
    </row>
    <row r="41" spans="1:45" ht="5.15" customHeight="1" x14ac:dyDescent="0.25"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43"/>
      <c r="AS41" s="43"/>
    </row>
    <row r="42" spans="1:45" x14ac:dyDescent="0.25">
      <c r="A42" s="44" t="s">
        <v>94</v>
      </c>
      <c r="B42" s="44" t="s">
        <v>96</v>
      </c>
      <c r="C42" s="36">
        <f>IF(C165=0,"",(C165*101.325)/(8.31451*288.15))</f>
        <v>36.918425341775226</v>
      </c>
      <c r="D42" s="36">
        <f t="shared" ref="D42:AS42" si="18">IF(D165=0,"",(D165*101.325)/(8.31451*288.15))</f>
        <v>37.167989891965682</v>
      </c>
      <c r="E42" s="36">
        <f>IF(E165=0,"",(E165*101.325)/(8.31451*288.15))</f>
        <v>36.082079668071678</v>
      </c>
      <c r="F42" s="36">
        <f>IF(F165=0,"",(F165*101.325)/(8.31451*288.15))</f>
        <v>35.953980851770993</v>
      </c>
      <c r="G42" s="36">
        <f t="shared" si="18"/>
        <v>36.154356409262959</v>
      </c>
      <c r="H42" s="36">
        <f>IF(H165=0,"",(H165*101.325)/(8.31451*288.15))</f>
        <v>36.78831738735829</v>
      </c>
      <c r="I42" s="36">
        <f>IF(I165=0,"",(I165*101.325)/(8.31451*288.15))</f>
        <v>35.752195861010321</v>
      </c>
      <c r="J42" s="36">
        <f>IF(J165=0,"",(J165*101.325)/(8.31451*288.15))</f>
        <v>38.16518828992249</v>
      </c>
      <c r="K42" s="36">
        <f t="shared" si="18"/>
        <v>36.666195572981913</v>
      </c>
      <c r="L42" s="36">
        <f>IF(L165=0,"",(L165*101.325)/(8.31451*288.15))</f>
        <v>38.129063474009769</v>
      </c>
      <c r="M42" s="36">
        <f>IF(M165=0,"",(M165*101.325)/(8.31451*288.15))</f>
        <v>37.715217562613134</v>
      </c>
      <c r="N42" s="36">
        <f t="shared" si="18"/>
        <v>33.93010775904591</v>
      </c>
      <c r="O42" s="36">
        <f t="shared" si="18"/>
        <v>33.903332206371303</v>
      </c>
      <c r="P42" s="36">
        <f t="shared" si="18"/>
        <v>33.92560629325888</v>
      </c>
      <c r="Q42" s="36">
        <f t="shared" si="18"/>
        <v>37.361018853613508</v>
      </c>
      <c r="R42" s="36">
        <f>IF(R165=0,"",(R165*101.325)/(8.31451*288.15))</f>
        <v>36.633014470483126</v>
      </c>
      <c r="S42" s="36">
        <f>IF(S165=0,"",(S165*101.325)/(8.31451*288.15))</f>
        <v>34.769702750340301</v>
      </c>
      <c r="T42" s="36">
        <f t="shared" si="18"/>
        <v>34.97653283214261</v>
      </c>
      <c r="U42" s="36">
        <f t="shared" si="18"/>
        <v>35.718690968644616</v>
      </c>
      <c r="V42" s="36">
        <f>IF(V165=0,"",(V165*101.325)/(8.31451*288.15))</f>
        <v>36.890949428573428</v>
      </c>
      <c r="W42" s="36">
        <f t="shared" si="18"/>
        <v>36.675548050435026</v>
      </c>
      <c r="X42" s="36">
        <f t="shared" si="18"/>
        <v>34.88374601599547</v>
      </c>
      <c r="Y42" s="36">
        <f t="shared" si="18"/>
        <v>36.942426942337576</v>
      </c>
      <c r="Z42" s="36">
        <f t="shared" si="18"/>
        <v>37.026259759104512</v>
      </c>
      <c r="AA42" s="36">
        <f>IF(AA165=0,"",(AA165*101.325)/(8.31451*288.15))</f>
        <v>37.823274902668203</v>
      </c>
      <c r="AB42" s="36">
        <f t="shared" si="18"/>
        <v>36.80483028994054</v>
      </c>
      <c r="AC42" s="36">
        <f t="shared" si="18"/>
        <v>36.162537685986642</v>
      </c>
      <c r="AD42" s="36">
        <f t="shared" si="18"/>
        <v>37.465136327364675</v>
      </c>
      <c r="AE42" s="36">
        <f t="shared" si="18"/>
        <v>38.388726495574794</v>
      </c>
      <c r="AF42" s="36">
        <f t="shared" si="18"/>
        <v>36.1941850158478</v>
      </c>
      <c r="AG42" s="36">
        <f t="shared" si="18"/>
        <v>37.326314932183386</v>
      </c>
      <c r="AH42" s="36">
        <f t="shared" si="18"/>
        <v>35.499013119767774</v>
      </c>
      <c r="AI42" s="36">
        <f t="shared" si="18"/>
        <v>36.935425747726853</v>
      </c>
      <c r="AJ42" s="36">
        <f>IF(AJ165=0,"",(AJ165*101.325)/(8.31451*288.15))</f>
        <v>35.667921554898996</v>
      </c>
      <c r="AK42" s="36">
        <f t="shared" si="18"/>
        <v>34.543682620923626</v>
      </c>
      <c r="AL42" s="36">
        <f t="shared" si="18"/>
        <v>37.816323401512768</v>
      </c>
      <c r="AM42" s="36">
        <f t="shared" si="18"/>
        <v>33.921824050365906</v>
      </c>
      <c r="AN42" s="36" t="str">
        <f>IF(AN165=0,"",(AN165*101.325)/(8.31451*288.15))</f>
        <v/>
      </c>
      <c r="AO42" s="36">
        <f>IF(AO165=0,"",(AO165*101.325)/(8.31451*288.15))</f>
        <v>34.651620569809104</v>
      </c>
      <c r="AP42" s="36">
        <f>IF(AP165=0,"",(AP165*101.325)/(8.31451*288.15))</f>
        <v>35.526981315369135</v>
      </c>
      <c r="AQ42" s="36" t="str">
        <f>IF(AQ165=0,"",(AQ165*101.325)/(8.31451*288.15))</f>
        <v/>
      </c>
      <c r="AR42" s="36">
        <f>IF(AR165=0,"",(AR165*101.325)/(8.31451*288.15))</f>
        <v>35.133391809698765</v>
      </c>
      <c r="AS42" s="36">
        <f t="shared" si="18"/>
        <v>36.001586293791945</v>
      </c>
    </row>
    <row r="43" spans="1:45" x14ac:dyDescent="0.25">
      <c r="A43" s="44" t="s">
        <v>95</v>
      </c>
      <c r="B43" s="44" t="s">
        <v>96</v>
      </c>
      <c r="C43" s="36">
        <f>IF(C$18="","",C42/SQRT(C$18/28.9626))</f>
        <v>47.179410247128921</v>
      </c>
      <c r="D43" s="36">
        <f t="shared" ref="D43:AS43" si="19">IF(D$18="","",D42/SQRT(D$18/28.9626))</f>
        <v>47.165115532817154</v>
      </c>
      <c r="E43" s="36">
        <f>IF(E$18="","",E42/SQRT(E$18/28.9626))</f>
        <v>46.592078384843532</v>
      </c>
      <c r="F43" s="36">
        <f>IF(F$18="","",F42/SQRT(F$18/28.9626))</f>
        <v>46.650045180857461</v>
      </c>
      <c r="G43" s="36">
        <f t="shared" si="19"/>
        <v>46.8792665038686</v>
      </c>
      <c r="H43" s="36">
        <f>IF(H$18="","",H42/SQRT(H$18/28.9626))</f>
        <v>47.20240418616649</v>
      </c>
      <c r="I43" s="36">
        <f>IF(I$18="","",I42/SQRT(I$18/28.9626))</f>
        <v>46.578677343878446</v>
      </c>
      <c r="J43" s="36">
        <f>IF(J$18="","",J42/SQRT(J$18/28.9626))</f>
        <v>48.011695045050402</v>
      </c>
      <c r="K43" s="36">
        <f t="shared" si="19"/>
        <v>47.088177658554841</v>
      </c>
      <c r="L43" s="36">
        <f>IF(L$18="","",L42/SQRT(L$18/28.9626))</f>
        <v>47.97549507316117</v>
      </c>
      <c r="M43" s="36">
        <f>IF(M$18="","",M42/SQRT(M$18/28.9626))</f>
        <v>47.737443941880215</v>
      </c>
      <c r="N43" s="36">
        <f t="shared" si="19"/>
        <v>45.551822478425521</v>
      </c>
      <c r="O43" s="36">
        <f t="shared" si="19"/>
        <v>45.519027100098043</v>
      </c>
      <c r="P43" s="36">
        <f t="shared" si="19"/>
        <v>45.553440975968222</v>
      </c>
      <c r="Q43" s="36">
        <f t="shared" si="19"/>
        <v>47.55548008427342</v>
      </c>
      <c r="R43" s="36">
        <f>IF(R$18="","",R42/SQRT(R$18/28.9626))</f>
        <v>47.052304195028675</v>
      </c>
      <c r="S43" s="36">
        <f>IF(S$18="","",S42/SQRT(S$18/28.9626))</f>
        <v>46.086494969404413</v>
      </c>
      <c r="T43" s="36">
        <f t="shared" si="19"/>
        <v>46.212850751051946</v>
      </c>
      <c r="U43" s="36">
        <f t="shared" si="19"/>
        <v>46.648419084932449</v>
      </c>
      <c r="V43" s="36">
        <f>IF(V$18="","",V42/SQRT(V$18/28.9626))</f>
        <v>47.28184559473678</v>
      </c>
      <c r="W43" s="36">
        <f t="shared" si="19"/>
        <v>47.178966432627632</v>
      </c>
      <c r="X43" s="36">
        <f t="shared" si="19"/>
        <v>46.034627915081018</v>
      </c>
      <c r="Y43" s="36">
        <f t="shared" si="19"/>
        <v>47.221752645856299</v>
      </c>
      <c r="Z43" s="36">
        <f t="shared" si="19"/>
        <v>47.294129449471171</v>
      </c>
      <c r="AA43" s="36">
        <f>IF(AA$18="","",AA42/SQRT(AA$18/28.9626))</f>
        <v>47.792431604269488</v>
      </c>
      <c r="AB43" s="36">
        <f t="shared" si="19"/>
        <v>47.252863676448968</v>
      </c>
      <c r="AC43" s="36">
        <f t="shared" si="19"/>
        <v>46.590018744033941</v>
      </c>
      <c r="AD43" s="36">
        <f t="shared" si="19"/>
        <v>47.531766990178923</v>
      </c>
      <c r="AE43" s="36">
        <f t="shared" si="19"/>
        <v>48.009838381282535</v>
      </c>
      <c r="AF43" s="36">
        <f t="shared" si="19"/>
        <v>46.643870928289218</v>
      </c>
      <c r="AG43" s="36">
        <f t="shared" si="19"/>
        <v>47.34476628083565</v>
      </c>
      <c r="AH43" s="36">
        <f t="shared" si="19"/>
        <v>46.387767822516452</v>
      </c>
      <c r="AI43" s="36">
        <f t="shared" si="19"/>
        <v>47.308473733595733</v>
      </c>
      <c r="AJ43" s="36">
        <f>IF(AJ$18="","",AJ42/SQRT(AJ$18/28.9626))</f>
        <v>46.504982859283402</v>
      </c>
      <c r="AK43" s="36">
        <f t="shared" si="19"/>
        <v>45.962657703433656</v>
      </c>
      <c r="AL43" s="36">
        <f t="shared" si="19"/>
        <v>47.689902047449316</v>
      </c>
      <c r="AM43" s="36">
        <f t="shared" si="19"/>
        <v>45.529944952817928</v>
      </c>
      <c r="AN43" s="36" t="str">
        <f>IF(AN$18="","",AN42/SQRT(AN$18/28.9626))</f>
        <v/>
      </c>
      <c r="AO43" s="36">
        <f>IF(AO$18="","",AO42/SQRT(AO$18/28.9626))</f>
        <v>46.001636508652943</v>
      </c>
      <c r="AP43" s="36">
        <f>IF(AP$18="","",AP42/SQRT(AP$18/28.9626))</f>
        <v>46.491484064059243</v>
      </c>
      <c r="AQ43" s="36" t="str">
        <f>IF(AQ$18="","",AQ42/SQRT(AQ$18/28.9626))</f>
        <v/>
      </c>
      <c r="AR43" s="36">
        <f>IF(AR$18="","",AR42/SQRT(AR$18/28.9626))</f>
        <v>46.28672015580041</v>
      </c>
      <c r="AS43" s="36">
        <f t="shared" si="19"/>
        <v>46.80052826233252</v>
      </c>
    </row>
    <row r="45" spans="1:45" x14ac:dyDescent="0.25">
      <c r="A45" s="45" t="s">
        <v>91</v>
      </c>
      <c r="B45" s="45" t="s">
        <v>97</v>
      </c>
      <c r="C45" s="36">
        <f>IF(C179=0,"",(C179*101.325)/(8.31451*273.15))</f>
        <v>43.121266232343537</v>
      </c>
      <c r="D45" s="36">
        <f t="shared" ref="D45:AS45" si="20">IF(D179=0,"",(D179*101.325)/(8.31451*273.15))</f>
        <v>43.39792221021397</v>
      </c>
      <c r="E45" s="36">
        <f>IF(E179=0,"",(E179*101.325)/(8.31451*273.15))</f>
        <v>42.172363863534493</v>
      </c>
      <c r="F45" s="36">
        <f>IF(F179=0,"",(F179*101.325)/(8.31451*273.15))</f>
        <v>42.031890216025232</v>
      </c>
      <c r="G45" s="36">
        <f t="shared" si="20"/>
        <v>42.262262286619737</v>
      </c>
      <c r="H45" s="36">
        <f>IF(H179=0,"",(H179*101.325)/(8.31451*273.15))</f>
        <v>42.978684268830385</v>
      </c>
      <c r="I45" s="36">
        <f>IF(I179=0,"",(I179*101.325)/(8.31451*273.15))</f>
        <v>41.80661948850922</v>
      </c>
      <c r="J45" s="36">
        <f>IF(J179=0,"",(J179*101.325)/(8.31451*273.15))</f>
        <v>44.53551654140292</v>
      </c>
      <c r="K45" s="36">
        <f t="shared" si="20"/>
        <v>42.83918366965456</v>
      </c>
      <c r="L45" s="36">
        <f>IF(L179=0,"",(L179*101.325)/(8.31451*273.15))</f>
        <v>44.492438116779965</v>
      </c>
      <c r="M45" s="36">
        <f>IF(M179=0,"",(M179*101.325)/(8.31451*273.15))</f>
        <v>44.025463878599751</v>
      </c>
      <c r="N45" s="36">
        <f t="shared" si="20"/>
        <v>39.748925108410496</v>
      </c>
      <c r="O45" s="36">
        <f t="shared" si="20"/>
        <v>39.718107360477511</v>
      </c>
      <c r="P45" s="36">
        <f t="shared" si="20"/>
        <v>39.743979292452146</v>
      </c>
      <c r="Q45" s="36">
        <f t="shared" si="20"/>
        <v>43.627305081924987</v>
      </c>
      <c r="R45" s="36">
        <f>IF(R179=0,"",(R179*101.325)/(8.31451*273.15))</f>
        <v>42.801245492197516</v>
      </c>
      <c r="S45" s="36">
        <f>IF(S179=0,"",(S179*101.325)/(8.31451*273.15))</f>
        <v>40.698848977203141</v>
      </c>
      <c r="T45" s="36">
        <f t="shared" si="20"/>
        <v>40.933055331148061</v>
      </c>
      <c r="U45" s="36">
        <f t="shared" si="20"/>
        <v>41.770867702919574</v>
      </c>
      <c r="V45" s="36">
        <f>IF(V179=0,"",(V179*101.325)/(8.31451*273.15))</f>
        <v>43.095256173012622</v>
      </c>
      <c r="W45" s="36">
        <f t="shared" si="20"/>
        <v>42.853210466992287</v>
      </c>
      <c r="X45" s="36">
        <f t="shared" si="20"/>
        <v>40.823879218906846</v>
      </c>
      <c r="Y45" s="36">
        <f t="shared" si="20"/>
        <v>43.150926494446054</v>
      </c>
      <c r="Z45" s="36">
        <f t="shared" si="20"/>
        <v>43.246502683556507</v>
      </c>
      <c r="AA45" s="36">
        <f>IF(AA179=0,"",(AA179*101.325)/(8.31451*273.15))</f>
        <v>44.14879090649432</v>
      </c>
      <c r="AB45" s="36">
        <f t="shared" si="20"/>
        <v>42.998696495710405</v>
      </c>
      <c r="AC45" s="36">
        <f t="shared" si="20"/>
        <v>42.262166275614987</v>
      </c>
      <c r="AD45" s="36">
        <f t="shared" si="20"/>
        <v>43.741866465699246</v>
      </c>
      <c r="AE45" s="36">
        <f t="shared" si="20"/>
        <v>44.783757991034506</v>
      </c>
      <c r="AF45" s="36">
        <f t="shared" si="20"/>
        <v>42.298100892569614</v>
      </c>
      <c r="AG45" s="36">
        <f t="shared" si="20"/>
        <v>43.580762408929942</v>
      </c>
      <c r="AH45" s="36">
        <f t="shared" si="20"/>
        <v>41.517165225859941</v>
      </c>
      <c r="AI45" s="36">
        <f t="shared" si="20"/>
        <v>43.145936063708547</v>
      </c>
      <c r="AJ45" s="36">
        <f>IF(AJ179=0,"",(AJ179*101.325)/(8.31451*273.15))</f>
        <v>41.710596616229815</v>
      </c>
      <c r="AK45" s="36">
        <f t="shared" si="20"/>
        <v>40.44382527807354</v>
      </c>
      <c r="AL45" s="36">
        <f t="shared" si="20"/>
        <v>44.135634900416186</v>
      </c>
      <c r="AM45" s="36">
        <f t="shared" si="20"/>
        <v>39.738997963129592</v>
      </c>
      <c r="AN45" s="36" t="str">
        <f>IF(AN179=0,"",(AN179*101.325)/(8.31451*273.15))</f>
        <v/>
      </c>
      <c r="AO45" s="36">
        <f>IF(AO179=0,"",(AO179*101.325)/(8.31451*273.15))</f>
        <v>40.564791024166368</v>
      </c>
      <c r="AP45" s="36">
        <f>IF(AP179=0,"",(AP179*101.325)/(8.31451*273.15))</f>
        <v>41.552820732756153</v>
      </c>
      <c r="AQ45" s="36" t="str">
        <f>IF(AQ179=0,"",(AQ179*101.325)/(8.31451*273.15))</f>
        <v/>
      </c>
      <c r="AR45" s="36">
        <f>IF(AR179=0,"",(AR179*101.325)/(8.31451*273.15))</f>
        <v>41.10917547336814</v>
      </c>
      <c r="AS45" s="36">
        <f t="shared" si="20"/>
        <v>42.090460855022158</v>
      </c>
    </row>
    <row r="46" spans="1:45" x14ac:dyDescent="0.25">
      <c r="A46" s="45" t="s">
        <v>93</v>
      </c>
      <c r="B46" s="45" t="s">
        <v>97</v>
      </c>
      <c r="C46" s="36">
        <f>IF(C$18="","",C45/SQRT(C$18/28.9626))</f>
        <v>55.106248197680493</v>
      </c>
      <c r="D46" s="36">
        <f t="shared" ref="D46:AS46" si="21">IF(D$18="","",D45/SQRT(D$18/28.9626))</f>
        <v>55.070721362077457</v>
      </c>
      <c r="E46" s="36">
        <f>IF(E$18="","",E45/SQRT(E$18/28.9626))</f>
        <v>54.456342341670549</v>
      </c>
      <c r="F46" s="36">
        <f>IF(F$18="","",F45/SQRT(F$18/28.9626))</f>
        <v>54.536091168826296</v>
      </c>
      <c r="G46" s="36">
        <f t="shared" si="21"/>
        <v>54.799035401532983</v>
      </c>
      <c r="H46" s="36">
        <f>IF(H$18="","",H45/SQRT(H$18/28.9626))</f>
        <v>55.145148523267231</v>
      </c>
      <c r="I46" s="36">
        <f>IF(I$18="","",I45/SQRT(I$18/28.9626))</f>
        <v>54.466501793731865</v>
      </c>
      <c r="J46" s="36">
        <f>IF(J$18="","",J45/SQRT(J$18/28.9626))</f>
        <v>56.025549320406022</v>
      </c>
      <c r="K46" s="36">
        <f t="shared" si="21"/>
        <v>55.015772971837201</v>
      </c>
      <c r="L46" s="36">
        <f>IF(L$18="","",L45/SQRT(L$18/28.9626))</f>
        <v>55.982144620979071</v>
      </c>
      <c r="M46" s="36">
        <f>IF(M$18="","",M45/SQRT(M$18/28.9626))</f>
        <v>55.724539051931494</v>
      </c>
      <c r="N46" s="36">
        <f t="shared" si="21"/>
        <v>53.363696723415877</v>
      </c>
      <c r="O46" s="36">
        <f t="shared" si="21"/>
        <v>53.326015103802192</v>
      </c>
      <c r="P46" s="36">
        <f t="shared" si="21"/>
        <v>53.366032701044716</v>
      </c>
      <c r="Q46" s="36">
        <f t="shared" si="21"/>
        <v>55.531607584982666</v>
      </c>
      <c r="R46" s="36">
        <f>IF(R$18="","",R45/SQRT(R$18/28.9626))</f>
        <v>54.974924994165171</v>
      </c>
      <c r="S46" s="36">
        <f>IF(S$18="","",S45/SQRT(S$18/28.9626))</f>
        <v>53.945451076082747</v>
      </c>
      <c r="T46" s="36">
        <f t="shared" si="21"/>
        <v>54.082924281863932</v>
      </c>
      <c r="U46" s="36">
        <f t="shared" si="21"/>
        <v>54.55252948260555</v>
      </c>
      <c r="V46" s="36">
        <f>IF(V$18="","",V45/SQRT(V$18/28.9626))</f>
        <v>55.233689558008336</v>
      </c>
      <c r="W46" s="36">
        <f t="shared" si="21"/>
        <v>55.125834121750088</v>
      </c>
      <c r="X46" s="36">
        <f t="shared" si="21"/>
        <v>53.873574501742205</v>
      </c>
      <c r="Y46" s="36">
        <f t="shared" si="21"/>
        <v>55.157783232292509</v>
      </c>
      <c r="Z46" s="36">
        <f t="shared" si="21"/>
        <v>55.239327694990763</v>
      </c>
      <c r="AA46" s="36">
        <f>IF(AA$18="","",AA45/SQRT(AA$18/28.9626))</f>
        <v>55.785176594028307</v>
      </c>
      <c r="AB46" s="36">
        <f t="shared" si="21"/>
        <v>55.205024116960551</v>
      </c>
      <c r="AC46" s="36">
        <f t="shared" si="21"/>
        <v>54.448477483575147</v>
      </c>
      <c r="AD46" s="36">
        <f t="shared" si="21"/>
        <v>55.495012386876994</v>
      </c>
      <c r="AE46" s="36">
        <f t="shared" si="21"/>
        <v>56.007614201629792</v>
      </c>
      <c r="AF46" s="36">
        <f t="shared" si="21"/>
        <v>54.510058941261079</v>
      </c>
      <c r="AG46" s="36">
        <f t="shared" si="21"/>
        <v>55.277918925031244</v>
      </c>
      <c r="AH46" s="36">
        <f t="shared" si="21"/>
        <v>54.251891866644755</v>
      </c>
      <c r="AI46" s="36">
        <f t="shared" si="21"/>
        <v>55.263161088835638</v>
      </c>
      <c r="AJ46" s="36">
        <f>IF(AJ$18="","",AJ45/SQRT(AJ$18/28.9626))</f>
        <v>54.383616878338309</v>
      </c>
      <c r="AK46" s="36">
        <f t="shared" si="21"/>
        <v>53.813188300531827</v>
      </c>
      <c r="AL46" s="36">
        <f t="shared" si="21"/>
        <v>55.659141764125962</v>
      </c>
      <c r="AM46" s="36">
        <f t="shared" si="21"/>
        <v>53.337768247810878</v>
      </c>
      <c r="AN46" s="36" t="str">
        <f>IF(AN$18="","",AN45/SQRT(AN$18/28.9626))</f>
        <v/>
      </c>
      <c r="AO46" s="36">
        <f>IF(AO$18="","",AO45/SQRT(AO$18/28.9626))</f>
        <v>53.851645061847357</v>
      </c>
      <c r="AP46" s="36">
        <f>IF(AP$18="","",AP45/SQRT(AP$18/28.9626))</f>
        <v>54.377046160066378</v>
      </c>
      <c r="AQ46" s="36" t="str">
        <f>IF(AQ$18="","",AQ45/SQRT(AQ$18/28.9626))</f>
        <v/>
      </c>
      <c r="AR46" s="36">
        <f>IF(AR$18="","",AR45/SQRT(AR$18/28.9626))</f>
        <v>54.15955599385665</v>
      </c>
      <c r="AS46" s="36">
        <f t="shared" si="21"/>
        <v>54.715805763251716</v>
      </c>
    </row>
    <row r="47" spans="1:45" ht="5.15" customHeight="1" x14ac:dyDescent="0.25"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  <c r="AK47" s="43"/>
      <c r="AL47" s="43"/>
      <c r="AM47" s="43"/>
      <c r="AN47" s="43"/>
      <c r="AO47" s="43"/>
      <c r="AP47" s="43"/>
      <c r="AQ47" s="43"/>
      <c r="AR47" s="43"/>
      <c r="AS47" s="43"/>
    </row>
    <row r="48" spans="1:45" x14ac:dyDescent="0.25">
      <c r="A48" s="45" t="s">
        <v>94</v>
      </c>
      <c r="B48" s="45" t="s">
        <v>97</v>
      </c>
      <c r="C48" s="36">
        <f>IF(C193=0,"",(C193*101.325)/(8.31451*273.15))</f>
        <v>38.939297364920826</v>
      </c>
      <c r="D48" s="36">
        <f t="shared" ref="D48:AS48" si="22">IF(D193=0,"",(D193*101.325)/(8.31451*273.15))</f>
        <v>39.202476377991871</v>
      </c>
      <c r="E48" s="36">
        <f>IF(E193=0,"",(E193*101.325)/(8.31451*273.15))</f>
        <v>38.057197998773731</v>
      </c>
      <c r="F48" s="36">
        <f>IF(F193=0,"",(F193*101.325)/(8.31451*273.15))</f>
        <v>37.922074957114127</v>
      </c>
      <c r="G48" s="36">
        <f t="shared" si="22"/>
        <v>38.133416325970082</v>
      </c>
      <c r="H48" s="36">
        <f>IF(H193=0,"",(H193*101.325)/(8.31451*273.15))</f>
        <v>38.802066765708574</v>
      </c>
      <c r="I48" s="36">
        <f>IF(I193=0,"",(I193*101.325)/(8.31451*273.15))</f>
        <v>37.709291504751427</v>
      </c>
      <c r="J48" s="36">
        <f>IF(J193=0,"",(J193*101.325)/(8.31451*273.15))</f>
        <v>40.254236469402976</v>
      </c>
      <c r="K48" s="36">
        <f t="shared" si="22"/>
        <v>38.673270322807468</v>
      </c>
      <c r="L48" s="36">
        <f>IF(L193=0,"",(L193*101.325)/(8.31451*273.15))</f>
        <v>40.216114166752348</v>
      </c>
      <c r="M48" s="36">
        <f>IF(M193=0,"",(M193*101.325)/(8.31451*273.15))</f>
        <v>39.779666208152889</v>
      </c>
      <c r="N48" s="36">
        <f t="shared" si="22"/>
        <v>35.787578286974657</v>
      </c>
      <c r="O48" s="36">
        <f t="shared" si="22"/>
        <v>35.759337622530182</v>
      </c>
      <c r="P48" s="36">
        <f t="shared" si="22"/>
        <v>35.782830649865332</v>
      </c>
      <c r="Q48" s="36">
        <f t="shared" si="22"/>
        <v>39.406086674841433</v>
      </c>
      <c r="R48" s="36">
        <f>IF(R193=0,"",(R193*101.325)/(8.31451*273.15))</f>
        <v>38.63830576499609</v>
      </c>
      <c r="S48" s="36">
        <f>IF(S193=0,"",(S193*101.325)/(8.31451*273.15))</f>
        <v>36.673078994655206</v>
      </c>
      <c r="T48" s="36">
        <f t="shared" si="22"/>
        <v>36.891229114188043</v>
      </c>
      <c r="U48" s="36">
        <f t="shared" si="22"/>
        <v>37.673935496867706</v>
      </c>
      <c r="V48" s="36">
        <f>IF(V193=0,"",(V193*101.325)/(8.31451*273.15))</f>
        <v>38.910313061337355</v>
      </c>
      <c r="W48" s="36">
        <f t="shared" si="22"/>
        <v>38.683133758183729</v>
      </c>
      <c r="X48" s="36">
        <f t="shared" si="22"/>
        <v>36.793353122441545</v>
      </c>
      <c r="Y48" s="36">
        <f t="shared" si="22"/>
        <v>38.964596443131086</v>
      </c>
      <c r="Z48" s="36">
        <f t="shared" si="22"/>
        <v>39.053036542929988</v>
      </c>
      <c r="AA48" s="36">
        <f>IF(AA193=0,"",(AA193*101.325)/(8.31451*273.15))</f>
        <v>39.893676688634109</v>
      </c>
      <c r="AB48" s="36">
        <f t="shared" si="22"/>
        <v>38.819501596796627</v>
      </c>
      <c r="AC48" s="36">
        <f t="shared" si="22"/>
        <v>38.142045225792259</v>
      </c>
      <c r="AD48" s="36">
        <f t="shared" si="22"/>
        <v>39.515891810853986</v>
      </c>
      <c r="AE48" s="36">
        <f t="shared" si="22"/>
        <v>40.489991134643802</v>
      </c>
      <c r="AF48" s="36">
        <f t="shared" si="22"/>
        <v>38.17540271464361</v>
      </c>
      <c r="AG48" s="36">
        <f t="shared" si="22"/>
        <v>39.369457628849219</v>
      </c>
      <c r="AH48" s="36">
        <f t="shared" si="22"/>
        <v>37.442237564266186</v>
      </c>
      <c r="AI48" s="36">
        <f t="shared" si="22"/>
        <v>38.95722657237674</v>
      </c>
      <c r="AJ48" s="36">
        <f>IF(AJ193=0,"",(AJ193*101.325)/(8.31451*273.15))</f>
        <v>37.620405167931381</v>
      </c>
      <c r="AK48" s="36">
        <f t="shared" si="22"/>
        <v>36.434706066484729</v>
      </c>
      <c r="AL48" s="36">
        <f t="shared" si="22"/>
        <v>39.88627054606431</v>
      </c>
      <c r="AM48" s="36">
        <f t="shared" si="22"/>
        <v>35.778840660935664</v>
      </c>
      <c r="AN48" s="36" t="str">
        <f>IF(AN193=0,"",(AN193*101.325)/(8.31451*273.15))</f>
        <v/>
      </c>
      <c r="AO48" s="36">
        <f>IF(AO193=0,"",(AO193*101.325)/(8.31451*273.15))</f>
        <v>36.548536035569477</v>
      </c>
      <c r="AP48" s="36">
        <f>IF(AP193=0,"",(AP193*101.325)/(8.31451*273.15))</f>
        <v>37.471746894570792</v>
      </c>
      <c r="AQ48" s="36" t="str">
        <f>IF(AQ193=0,"",(AQ193*101.325)/(8.31451*273.15))</f>
        <v/>
      </c>
      <c r="AR48" s="36">
        <f>IF(AR193=0,"",(AR193*101.325)/(8.31451*273.15))</f>
        <v>37.056645501666416</v>
      </c>
      <c r="AS48" s="36">
        <f t="shared" si="22"/>
        <v>37.972318827573332</v>
      </c>
    </row>
    <row r="49" spans="1:45" x14ac:dyDescent="0.25">
      <c r="A49" s="45" t="s">
        <v>95</v>
      </c>
      <c r="B49" s="45" t="s">
        <v>97</v>
      </c>
      <c r="C49" s="36">
        <f>IF(C$18="","",C48/SQRT(C$18/28.9626))</f>
        <v>49.761956749431796</v>
      </c>
      <c r="D49" s="36">
        <f t="shared" ref="D49:AS49" si="23">IF(D$18="","",D48/SQRT(D$18/28.9626))</f>
        <v>49.746820662480964</v>
      </c>
      <c r="E49" s="36">
        <f>IF(E$18="","",E48/SQRT(E$18/28.9626))</f>
        <v>49.142509760472976</v>
      </c>
      <c r="F49" s="36">
        <f>IF(F$18="","",F48/SQRT(F$18/28.9626))</f>
        <v>49.203633872828803</v>
      </c>
      <c r="G49" s="36">
        <f t="shared" si="23"/>
        <v>49.445399232445318</v>
      </c>
      <c r="H49" s="36">
        <f>IF(H$18="","",H48/SQRT(H$18/28.9626))</f>
        <v>49.786208470708061</v>
      </c>
      <c r="I49" s="36">
        <f>IF(I$18="","",I48/SQRT(I$18/28.9626))</f>
        <v>49.128420774332767</v>
      </c>
      <c r="J49" s="36">
        <f>IF(J$18="","",J48/SQRT(J$18/28.9626))</f>
        <v>50.639711533943732</v>
      </c>
      <c r="K49" s="36">
        <f t="shared" si="23"/>
        <v>49.665742385870757</v>
      </c>
      <c r="L49" s="36">
        <f>IF(L$18="","",L48/SQRT(L$18/28.9626))</f>
        <v>50.601504765094987</v>
      </c>
      <c r="M49" s="36">
        <f>IF(M$18="","",M48/SQRT(M$18/28.9626))</f>
        <v>50.350487372525521</v>
      </c>
      <c r="N49" s="36">
        <f t="shared" si="23"/>
        <v>48.045512399718504</v>
      </c>
      <c r="O49" s="36">
        <f t="shared" si="23"/>
        <v>48.010922596440672</v>
      </c>
      <c r="P49" s="36">
        <f t="shared" si="23"/>
        <v>48.047219845429822</v>
      </c>
      <c r="Q49" s="36">
        <f t="shared" si="23"/>
        <v>50.158572425637303</v>
      </c>
      <c r="R49" s="36">
        <f>IF(R$18="","",R48/SQRT(R$18/28.9626))</f>
        <v>49.62794743249939</v>
      </c>
      <c r="S49" s="36">
        <f>IF(S$18="","",S48/SQRT(S$18/28.9626))</f>
        <v>48.609379341996416</v>
      </c>
      <c r="T49" s="36">
        <f t="shared" si="23"/>
        <v>48.742649057259278</v>
      </c>
      <c r="U49" s="36">
        <f t="shared" si="23"/>
        <v>49.201957965910452</v>
      </c>
      <c r="V49" s="36">
        <f>IF(V$18="","",V48/SQRT(V$18/28.9626))</f>
        <v>49.869993662566621</v>
      </c>
      <c r="W49" s="36">
        <f t="shared" si="23"/>
        <v>49.761499584858889</v>
      </c>
      <c r="X49" s="36">
        <f t="shared" si="23"/>
        <v>48.554656944329494</v>
      </c>
      <c r="Y49" s="36">
        <f t="shared" si="23"/>
        <v>49.80659603266232</v>
      </c>
      <c r="Z49" s="36">
        <f t="shared" si="23"/>
        <v>49.882958140326316</v>
      </c>
      <c r="AA49" s="36">
        <f>IF(AA$18="","",AA48/SQRT(AA$18/28.9626))</f>
        <v>50.408533356530839</v>
      </c>
      <c r="AB49" s="36">
        <f t="shared" si="23"/>
        <v>49.839453204664878</v>
      </c>
      <c r="AC49" s="36">
        <f t="shared" si="23"/>
        <v>49.140318011865425</v>
      </c>
      <c r="AD49" s="36">
        <f t="shared" si="23"/>
        <v>50.133546707282171</v>
      </c>
      <c r="AE49" s="36">
        <f t="shared" si="23"/>
        <v>50.637729038963926</v>
      </c>
      <c r="AF49" s="36">
        <f t="shared" si="23"/>
        <v>49.197089424105911</v>
      </c>
      <c r="AG49" s="36">
        <f t="shared" si="23"/>
        <v>49.936292222461248</v>
      </c>
      <c r="AH49" s="36">
        <f t="shared" si="23"/>
        <v>48.927045296352333</v>
      </c>
      <c r="AI49" s="36">
        <f t="shared" si="23"/>
        <v>49.898082740969848</v>
      </c>
      <c r="AJ49" s="36">
        <f>IF(AJ$18="","",AJ48/SQRT(AJ$18/28.9626))</f>
        <v>49.050693766978036</v>
      </c>
      <c r="AK49" s="36">
        <f t="shared" si="23"/>
        <v>48.478789648348126</v>
      </c>
      <c r="AL49" s="36">
        <f t="shared" si="23"/>
        <v>50.300297974069501</v>
      </c>
      <c r="AM49" s="36">
        <f t="shared" si="23"/>
        <v>48.022436628093793</v>
      </c>
      <c r="AN49" s="36" t="str">
        <f>IF(AN$18="","",AN48/SQRT(AN$18/28.9626))</f>
        <v/>
      </c>
      <c r="AO49" s="36">
        <f>IF(AO$18="","",AO48/SQRT(AO$18/28.9626))</f>
        <v>48.519879935904903</v>
      </c>
      <c r="AP49" s="36">
        <f>IF(AP$18="","",AP48/SQRT(AP$18/28.9626))</f>
        <v>49.036452270932216</v>
      </c>
      <c r="AQ49" s="36" t="str">
        <f>IF(AQ$18="","",AQ48/SQRT(AQ$18/28.9626))</f>
        <v/>
      </c>
      <c r="AR49" s="36">
        <f>IF(AR$18="","",AR48/SQRT(AR$18/28.9626))</f>
        <v>48.820523493403073</v>
      </c>
      <c r="AS49" s="36">
        <f t="shared" si="23"/>
        <v>49.362396589246721</v>
      </c>
    </row>
    <row r="51" spans="1:45" x14ac:dyDescent="0.25">
      <c r="A51" s="46" t="s">
        <v>91</v>
      </c>
      <c r="B51" s="46" t="s">
        <v>98</v>
      </c>
      <c r="C51" s="36">
        <f>IF(C179=0,"",(C179*101.325)/(8.31451*288.15))</f>
        <v>40.87653607969682</v>
      </c>
      <c r="D51" s="36">
        <f t="shared" ref="D51:AS51" si="24">IF(D179=0,"",(D179*101.325)/(8.31451*288.15))</f>
        <v>41.138790392920171</v>
      </c>
      <c r="E51" s="36">
        <f>IF(E179=0,"",(E179*101.325)/(8.31451*288.15))</f>
        <v>39.97702998203868</v>
      </c>
      <c r="F51" s="36">
        <f>IF(F179=0,"",(F179*101.325)/(8.31451*288.15))</f>
        <v>39.843868861729284</v>
      </c>
      <c r="G51" s="36">
        <f t="shared" si="24"/>
        <v>40.06224863296957</v>
      </c>
      <c r="H51" s="36">
        <f>IF(H179=0,"",(H179*101.325)/(8.31451*288.15))</f>
        <v>40.741376394346759</v>
      </c>
      <c r="I51" s="36">
        <f>IF(I179=0,"",(I179*101.325)/(8.31451*288.15))</f>
        <v>39.630324876926231</v>
      </c>
      <c r="J51" s="36">
        <f>IF(J179=0,"",(J179*101.325)/(8.31451*288.15))</f>
        <v>42.217165862516772</v>
      </c>
      <c r="K51" s="36">
        <f t="shared" si="24"/>
        <v>40.609137669151977</v>
      </c>
      <c r="L51" s="36">
        <f>IF(L179=0,"",(L179*101.325)/(8.31451*288.15))</f>
        <v>42.176329937874186</v>
      </c>
      <c r="M51" s="36">
        <f>IF(M179=0,"",(M179*101.325)/(8.31451*288.15))</f>
        <v>41.73366461370648</v>
      </c>
      <c r="N51" s="36">
        <f t="shared" si="24"/>
        <v>37.679746289648882</v>
      </c>
      <c r="O51" s="36">
        <f t="shared" si="24"/>
        <v>37.650532797204342</v>
      </c>
      <c r="P51" s="36">
        <f t="shared" si="24"/>
        <v>37.675057934177694</v>
      </c>
      <c r="Q51" s="36">
        <f t="shared" si="24"/>
        <v>41.356232459232373</v>
      </c>
      <c r="R51" s="36">
        <f>IF(R179=0,"",(R179*101.325)/(8.31451*288.15))</f>
        <v>40.573174409834287</v>
      </c>
      <c r="S51" s="36">
        <f>IF(S179=0,"",(S179*101.325)/(8.31451*288.15))</f>
        <v>38.580220711862012</v>
      </c>
      <c r="T51" s="36">
        <f t="shared" si="24"/>
        <v>38.802235168152322</v>
      </c>
      <c r="U51" s="36">
        <f t="shared" si="24"/>
        <v>39.596434194178315</v>
      </c>
      <c r="V51" s="36">
        <f>IF(V179=0,"",(V179*101.325)/(8.31451*288.15))</f>
        <v>40.851880005755326</v>
      </c>
      <c r="W51" s="36">
        <f t="shared" si="24"/>
        <v>40.62243428443152</v>
      </c>
      <c r="X51" s="36">
        <f t="shared" si="24"/>
        <v>38.698742351707118</v>
      </c>
      <c r="Y51" s="36">
        <f t="shared" si="24"/>
        <v>40.904652340648759</v>
      </c>
      <c r="Z51" s="36">
        <f t="shared" si="24"/>
        <v>40.995253194563453</v>
      </c>
      <c r="AA51" s="36">
        <f>IF(AA179=0,"",(AA179*101.325)/(8.31451*288.15))</f>
        <v>41.850571702616428</v>
      </c>
      <c r="AB51" s="36">
        <f t="shared" si="24"/>
        <v>40.760346860327253</v>
      </c>
      <c r="AC51" s="36">
        <f t="shared" si="24"/>
        <v>40.062157619934872</v>
      </c>
      <c r="AD51" s="36">
        <f t="shared" si="24"/>
        <v>41.464830210327086</v>
      </c>
      <c r="AE51" s="36">
        <f t="shared" si="24"/>
        <v>42.452484800454883</v>
      </c>
      <c r="AF51" s="36">
        <f t="shared" si="24"/>
        <v>40.096221616537875</v>
      </c>
      <c r="AG51" s="36">
        <f t="shared" si="24"/>
        <v>41.312112621895587</v>
      </c>
      <c r="AH51" s="36">
        <f t="shared" si="24"/>
        <v>39.3559385092613</v>
      </c>
      <c r="AI51" s="36">
        <f t="shared" si="24"/>
        <v>40.899921692875203</v>
      </c>
      <c r="AJ51" s="36">
        <f>IF(AJ179=0,"",(AJ179*101.325)/(8.31451*288.15))</f>
        <v>39.539300592480217</v>
      </c>
      <c r="AK51" s="36">
        <f t="shared" si="24"/>
        <v>38.338472582702714</v>
      </c>
      <c r="AL51" s="36">
        <f>IF(AL179=0,"",(AL179*101.325)/(8.31451*288.15))</f>
        <v>41.838100548494467</v>
      </c>
      <c r="AM51" s="36">
        <f t="shared" si="24"/>
        <v>37.670335914033828</v>
      </c>
      <c r="AN51" s="36" t="str">
        <f>IF(AN179=0,"",(AN179*101.325)/(8.31451*288.15))</f>
        <v/>
      </c>
      <c r="AO51" s="36">
        <f>IF(AO179=0,"",(AO179*101.325)/(8.31451*288.15))</f>
        <v>38.453141309217571</v>
      </c>
      <c r="AP51" s="36">
        <f>IF(AP179=0,"",(AP179*101.325)/(8.31451*288.15))</f>
        <v>39.389737925220693</v>
      </c>
      <c r="AQ51" s="36" t="str">
        <f>IF(AQ179=0,"",(AQ179*101.325)/(8.31451*288.15))</f>
        <v/>
      </c>
      <c r="AR51" s="36">
        <f>IF(AR179=0,"",(AR179*101.325)/(8.31451*288.15))</f>
        <v>38.969187161376041</v>
      </c>
      <c r="AS51" s="36">
        <f t="shared" si="24"/>
        <v>39.899390534614959</v>
      </c>
    </row>
    <row r="52" spans="1:45" x14ac:dyDescent="0.25">
      <c r="A52" s="46" t="s">
        <v>93</v>
      </c>
      <c r="B52" s="46" t="s">
        <v>98</v>
      </c>
      <c r="C52" s="36">
        <f>IF(C$18="","",C51/SQRT(C$18/28.9626))</f>
        <v>52.237625178540441</v>
      </c>
      <c r="D52" s="36">
        <f t="shared" ref="D52:AS52" si="25">IF(D$18="","",D51/SQRT(D$18/28.9626))</f>
        <v>52.203947735732989</v>
      </c>
      <c r="E52" s="36">
        <f>IF(E$18="","",E51/SQRT(E$18/28.9626))</f>
        <v>51.621550965217111</v>
      </c>
      <c r="F52" s="36">
        <f>IF(F$18="","",F51/SQRT(F$18/28.9626))</f>
        <v>51.697148369824411</v>
      </c>
      <c r="G52" s="36">
        <f t="shared" si="25"/>
        <v>51.946404719516693</v>
      </c>
      <c r="H52" s="36">
        <f>IF(H$18="","",H51/SQRT(H$18/28.9626))</f>
        <v>52.27450050019241</v>
      </c>
      <c r="I52" s="36">
        <f>IF(I$18="","",I51/SQRT(I$18/28.9626))</f>
        <v>51.631181554599543</v>
      </c>
      <c r="J52" s="36">
        <f>IF(J$18="","",J51/SQRT(J$18/28.9626))</f>
        <v>53.109070959114717</v>
      </c>
      <c r="K52" s="36">
        <f t="shared" si="25"/>
        <v>52.151859751023181</v>
      </c>
      <c r="L52" s="36">
        <f>IF(L$18="","",L51/SQRT(L$18/28.9626))</f>
        <v>53.067925744301341</v>
      </c>
      <c r="M52" s="36">
        <f>IF(M$18="","",M51/SQRT(M$18/28.9626))</f>
        <v>52.823730147614391</v>
      </c>
      <c r="N52" s="36">
        <f t="shared" si="25"/>
        <v>50.585784348433258</v>
      </c>
      <c r="O52" s="36">
        <f t="shared" si="25"/>
        <v>50.550064291527214</v>
      </c>
      <c r="P52" s="36">
        <f t="shared" si="25"/>
        <v>50.587998723895069</v>
      </c>
      <c r="Q52" s="36">
        <f t="shared" si="25"/>
        <v>52.640841963692566</v>
      </c>
      <c r="R52" s="36">
        <f>IF(R$18="","",R51/SQRT(R$18/28.9626))</f>
        <v>52.113138164692749</v>
      </c>
      <c r="S52" s="36">
        <f>IF(S$18="","",S51/SQRT(S$18/28.9626))</f>
        <v>51.137254768113841</v>
      </c>
      <c r="T52" s="36">
        <f t="shared" si="25"/>
        <v>51.267571638352003</v>
      </c>
      <c r="U52" s="36">
        <f t="shared" si="25"/>
        <v>51.712730967113323</v>
      </c>
      <c r="V52" s="36">
        <f>IF(V$18="","",V51/SQRT(V$18/28.9626))</f>
        <v>52.358432423286402</v>
      </c>
      <c r="W52" s="36">
        <f t="shared" si="25"/>
        <v>52.256191533423689</v>
      </c>
      <c r="X52" s="36">
        <f t="shared" si="25"/>
        <v>51.069119816591652</v>
      </c>
      <c r="Y52" s="36">
        <f t="shared" si="25"/>
        <v>52.286477494015962</v>
      </c>
      <c r="Z52" s="36">
        <f t="shared" si="25"/>
        <v>52.363777060165631</v>
      </c>
      <c r="AA52" s="36">
        <f>IF(AA$18="","",AA51/SQRT(AA$18/28.9626))</f>
        <v>52.881211128436</v>
      </c>
      <c r="AB52" s="36">
        <f t="shared" si="25"/>
        <v>52.331259196764798</v>
      </c>
      <c r="AC52" s="36">
        <f t="shared" si="25"/>
        <v>51.614095521910642</v>
      </c>
      <c r="AD52" s="36">
        <f t="shared" si="25"/>
        <v>52.606151773296723</v>
      </c>
      <c r="AE52" s="36">
        <f t="shared" si="25"/>
        <v>53.092069474840109</v>
      </c>
      <c r="AF52" s="36">
        <f t="shared" si="25"/>
        <v>51.672471281643105</v>
      </c>
      <c r="AG52" s="36">
        <f t="shared" si="25"/>
        <v>52.400359376617324</v>
      </c>
      <c r="AH52" s="36">
        <f t="shared" si="25"/>
        <v>51.427743409245238</v>
      </c>
      <c r="AI52" s="36">
        <f t="shared" si="25"/>
        <v>52.386369777600052</v>
      </c>
      <c r="AJ52" s="36">
        <f>IF(AJ$18="","",AJ51/SQRT(AJ$18/28.9626))</f>
        <v>51.552611314655941</v>
      </c>
      <c r="AK52" s="36">
        <f t="shared" si="25"/>
        <v>51.011877092799814</v>
      </c>
      <c r="AL52" s="36">
        <f>IF(AL$18="","",AL51/SQRT(AL$18/28.9626))</f>
        <v>52.76173719545725</v>
      </c>
      <c r="AM52" s="36">
        <f t="shared" si="25"/>
        <v>50.561205611277259</v>
      </c>
      <c r="AN52" s="36" t="str">
        <f>IF(AN$18="","",AN51/SQRT(AN$18/28.9626))</f>
        <v/>
      </c>
      <c r="AO52" s="36">
        <f>IF(AO$18="","",AO51/SQRT(AO$18/28.9626))</f>
        <v>51.048331940460194</v>
      </c>
      <c r="AP52" s="36">
        <f>IF(AP$18="","",AP51/SQRT(AP$18/28.9626))</f>
        <v>51.546382643144646</v>
      </c>
      <c r="AQ52" s="36" t="str">
        <f>IF(AQ$18="","",AQ51/SQRT(AQ$18/28.9626))</f>
        <v/>
      </c>
      <c r="AR52" s="36">
        <f>IF(AR$18="","",AR51/SQRT(AR$18/28.9626))</f>
        <v>51.340214193031208</v>
      </c>
      <c r="AS52" s="36">
        <f t="shared" si="25"/>
        <v>51.867507701656095</v>
      </c>
    </row>
    <row r="53" spans="1:45" ht="5.15" customHeight="1" x14ac:dyDescent="0.25"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3"/>
      <c r="AJ53" s="43"/>
      <c r="AK53" s="43"/>
      <c r="AL53" s="43"/>
      <c r="AM53" s="43"/>
      <c r="AN53" s="43"/>
      <c r="AO53" s="43"/>
      <c r="AP53" s="43"/>
      <c r="AQ53" s="43"/>
      <c r="AR53" s="43"/>
      <c r="AS53" s="43"/>
    </row>
    <row r="54" spans="1:45" x14ac:dyDescent="0.25">
      <c r="A54" s="46" t="s">
        <v>94</v>
      </c>
      <c r="B54" s="46" t="s">
        <v>98</v>
      </c>
      <c r="C54" s="36">
        <f>IF(C193=0,"",(C193*101.325)/(8.31451*288.15))</f>
        <v>36.912264706674037</v>
      </c>
      <c r="D54" s="36">
        <f t="shared" ref="D54:AS54" si="26">IF(D193=0,"",(D193*101.325)/(8.31451*288.15))</f>
        <v>37.161743614952208</v>
      </c>
      <c r="E54" s="36">
        <f>IF(E193=0,"",(E193*101.325)/(8.31451*288.15))</f>
        <v>36.07608409982663</v>
      </c>
      <c r="F54" s="36">
        <f>IF(F193=0,"",(F193*101.325)/(8.31451*288.15))</f>
        <v>35.947995053047798</v>
      </c>
      <c r="G54" s="36">
        <f t="shared" si="26"/>
        <v>36.148334788959666</v>
      </c>
      <c r="H54" s="36">
        <f>IF(H193=0,"",(H193*101.325)/(8.31451*288.15))</f>
        <v>36.782177813823694</v>
      </c>
      <c r="I54" s="36">
        <f>IF(I193=0,"",(I193*101.325)/(8.31451*288.15))</f>
        <v>35.746288303046512</v>
      </c>
      <c r="J54" s="36">
        <f>IF(J193=0,"",(J193*101.325)/(8.31451*288.15))</f>
        <v>38.158753050902043</v>
      </c>
      <c r="K54" s="36">
        <f t="shared" si="26"/>
        <v>36.660086026981993</v>
      </c>
      <c r="L54" s="36">
        <f>IF(L193=0,"",(L193*101.325)/(8.31451*288.15))</f>
        <v>38.122615251252491</v>
      </c>
      <c r="M54" s="36">
        <f>IF(M193=0,"",(M193*101.325)/(8.31451*288.15))</f>
        <v>37.708887123917961</v>
      </c>
      <c r="N54" s="36">
        <f t="shared" si="26"/>
        <v>33.924612212691748</v>
      </c>
      <c r="O54" s="36">
        <f t="shared" si="26"/>
        <v>33.897841650508823</v>
      </c>
      <c r="P54" s="36">
        <f t="shared" si="26"/>
        <v>33.920111719627677</v>
      </c>
      <c r="Q54" s="36">
        <f t="shared" si="26"/>
        <v>37.354754729248434</v>
      </c>
      <c r="R54" s="36">
        <f>IF(R193=0,"",(R193*101.325)/(8.31451*288.15))</f>
        <v>36.626941591909357</v>
      </c>
      <c r="S54" s="36">
        <f>IF(S193=0,"",(S193*101.325)/(8.31451*288.15))</f>
        <v>34.764017100087003</v>
      </c>
      <c r="T54" s="36">
        <f t="shared" si="26"/>
        <v>34.970811148847694</v>
      </c>
      <c r="U54" s="36">
        <f t="shared" si="26"/>
        <v>35.712772795312901</v>
      </c>
      <c r="V54" s="36">
        <f>IF(V193=0,"",(V193*101.325)/(8.31451*288.15))</f>
        <v>36.884789216395276</v>
      </c>
      <c r="W54" s="36">
        <f t="shared" si="26"/>
        <v>36.669436009189255</v>
      </c>
      <c r="X54" s="36">
        <f t="shared" si="26"/>
        <v>34.878030211330582</v>
      </c>
      <c r="Y54" s="36">
        <f t="shared" si="26"/>
        <v>36.936246810485009</v>
      </c>
      <c r="Z54" s="36">
        <f t="shared" si="26"/>
        <v>37.020083052928427</v>
      </c>
      <c r="AA54" s="36">
        <f>IF(AA193=0,"",(AA193*101.325)/(8.31451*288.15))</f>
        <v>37.816962649663047</v>
      </c>
      <c r="AB54" s="36">
        <f t="shared" si="26"/>
        <v>36.798705053496441</v>
      </c>
      <c r="AC54" s="36">
        <f t="shared" si="26"/>
        <v>36.156514500868141</v>
      </c>
      <c r="AD54" s="36">
        <f t="shared" si="26"/>
        <v>37.458843824864708</v>
      </c>
      <c r="AE54" s="36">
        <f t="shared" si="26"/>
        <v>38.382235219253701</v>
      </c>
      <c r="AF54" s="36">
        <f t="shared" si="26"/>
        <v>36.188135524917236</v>
      </c>
      <c r="AG54" s="36">
        <f t="shared" si="26"/>
        <v>37.320032452959097</v>
      </c>
      <c r="AH54" s="36">
        <f t="shared" si="26"/>
        <v>35.493136181430877</v>
      </c>
      <c r="AI54" s="36">
        <f t="shared" si="26"/>
        <v>36.929260587349319</v>
      </c>
      <c r="AJ54" s="36">
        <f>IF(AJ193=0,"",(AJ193*101.325)/(8.31451*288.15))</f>
        <v>35.662029052994818</v>
      </c>
      <c r="AK54" s="36">
        <f t="shared" si="26"/>
        <v>34.538052965678652</v>
      </c>
      <c r="AL54" s="36">
        <f t="shared" si="26"/>
        <v>37.809942042885531</v>
      </c>
      <c r="AM54" s="36">
        <f t="shared" si="26"/>
        <v>33.916329434442396</v>
      </c>
      <c r="AN54" s="36" t="str">
        <f>IF(AN193=0,"",(AN193*101.325)/(8.31451*288.15))</f>
        <v/>
      </c>
      <c r="AO54" s="36">
        <f>IF(AO193=0,"",(AO193*101.325)/(8.31451*288.15))</f>
        <v>34.645957376768358</v>
      </c>
      <c r="AP54" s="36">
        <f>IF(AP193=0,"",(AP193*101.325)/(8.31451*288.15))</f>
        <v>35.521109367523898</v>
      </c>
      <c r="AQ54" s="36" t="str">
        <f>IF(AQ193=0,"",(AQ193*101.325)/(8.31451*288.15))</f>
        <v/>
      </c>
      <c r="AR54" s="36">
        <f>IF(AR193=0,"",(AR193*101.325)/(8.31451*288.15))</f>
        <v>35.127616584349056</v>
      </c>
      <c r="AS54" s="36">
        <f t="shared" si="26"/>
        <v>35.995623417496631</v>
      </c>
    </row>
    <row r="55" spans="1:45" x14ac:dyDescent="0.25">
      <c r="A55" s="46" t="s">
        <v>95</v>
      </c>
      <c r="B55" s="46" t="s">
        <v>98</v>
      </c>
      <c r="C55" s="36">
        <f>IF(C$18="","",C54/SQRT(C$18/28.9626))</f>
        <v>47.171537345505108</v>
      </c>
      <c r="D55" s="36">
        <f t="shared" ref="D55:AS55" si="27">IF(D$18="","",D54/SQRT(D$18/28.9626))</f>
        <v>47.157189186037392</v>
      </c>
      <c r="E55" s="36">
        <f>IF(E$18="","",E54/SQRT(E$18/28.9626))</f>
        <v>46.584336425726853</v>
      </c>
      <c r="F55" s="36">
        <f>IF(F$18="","",F54/SQRT(F$18/28.9626))</f>
        <v>46.642278647798669</v>
      </c>
      <c r="G55" s="36">
        <f t="shared" si="27"/>
        <v>46.87145861649293</v>
      </c>
      <c r="H55" s="36">
        <f>IF(H$18="","",H54/SQRT(H$18/28.9626))</f>
        <v>47.194526613825808</v>
      </c>
      <c r="I55" s="36">
        <f>IF(I$18="","",I54/SQRT(I$18/28.9626))</f>
        <v>46.570980858958855</v>
      </c>
      <c r="J55" s="36">
        <f>IF(J$18="","",J54/SQRT(J$18/28.9626))</f>
        <v>48.003599533217873</v>
      </c>
      <c r="K55" s="36">
        <f t="shared" si="27"/>
        <v>47.080331538089879</v>
      </c>
      <c r="L55" s="36">
        <f>IF(L$18="","",L54/SQRT(L$18/28.9626))</f>
        <v>47.967381664361255</v>
      </c>
      <c r="M55" s="36">
        <f>IF(M$18="","",M54/SQRT(M$18/28.9626))</f>
        <v>47.729431288583534</v>
      </c>
      <c r="N55" s="36">
        <f t="shared" si="27"/>
        <v>45.544444601711291</v>
      </c>
      <c r="O55" s="36">
        <f t="shared" si="27"/>
        <v>45.511655412867491</v>
      </c>
      <c r="P55" s="36">
        <f t="shared" si="27"/>
        <v>45.546063164251798</v>
      </c>
      <c r="Q55" s="36">
        <f t="shared" si="27"/>
        <v>47.547506708529681</v>
      </c>
      <c r="R55" s="36">
        <f>IF(R$18="","",R54/SQRT(R$18/28.9626))</f>
        <v>47.044504047153247</v>
      </c>
      <c r="S55" s="36">
        <f>IF(S$18="","",S54/SQRT(S$18/28.9626))</f>
        <v>46.078958761986193</v>
      </c>
      <c r="T55" s="36">
        <f t="shared" si="27"/>
        <v>46.205290959536256</v>
      </c>
      <c r="U55" s="36">
        <f t="shared" si="27"/>
        <v>46.64068998226076</v>
      </c>
      <c r="V55" s="36">
        <f>IF(V$18="","",V54/SQRT(V$18/28.9626))</f>
        <v>47.273950265244046</v>
      </c>
      <c r="W55" s="36">
        <f t="shared" si="27"/>
        <v>47.171103979192097</v>
      </c>
      <c r="X55" s="36">
        <f t="shared" si="27"/>
        <v>46.027085005530452</v>
      </c>
      <c r="Y55" s="36">
        <f t="shared" si="27"/>
        <v>47.213852876355062</v>
      </c>
      <c r="Z55" s="36">
        <f t="shared" si="27"/>
        <v>47.286239861287989</v>
      </c>
      <c r="AA55" s="36">
        <f>IF(AA$18="","",AA54/SQRT(AA$18/28.9626))</f>
        <v>47.784455618033661</v>
      </c>
      <c r="AB55" s="36">
        <f t="shared" si="27"/>
        <v>47.244999628159682</v>
      </c>
      <c r="AC55" s="36">
        <f t="shared" si="27"/>
        <v>46.582258771268577</v>
      </c>
      <c r="AD55" s="36">
        <f t="shared" si="27"/>
        <v>47.523783734492888</v>
      </c>
      <c r="AE55" s="36">
        <f t="shared" si="27"/>
        <v>48.001720239434306</v>
      </c>
      <c r="AF55" s="36">
        <f t="shared" si="27"/>
        <v>46.636074878342974</v>
      </c>
      <c r="AG55" s="36">
        <f t="shared" si="27"/>
        <v>47.336797572671486</v>
      </c>
      <c r="AH55" s="36">
        <f t="shared" si="27"/>
        <v>46.380088227307439</v>
      </c>
      <c r="AI55" s="36">
        <f t="shared" si="27"/>
        <v>47.300577132382145</v>
      </c>
      <c r="AJ55" s="36">
        <f>IF(AJ$18="","",AJ54/SQRT(AJ$18/28.9626))</f>
        <v>46.497300025854763</v>
      </c>
      <c r="AK55" s="36">
        <f t="shared" si="27"/>
        <v>45.955167074254007</v>
      </c>
      <c r="AL55" s="36">
        <f t="shared" si="27"/>
        <v>47.681854560531264</v>
      </c>
      <c r="AM55" s="36">
        <f t="shared" si="27"/>
        <v>45.522570067547527</v>
      </c>
      <c r="AN55" s="36" t="str">
        <f>IF(AN$18="","",AN54/SQRT(AN$18/28.9626))</f>
        <v/>
      </c>
      <c r="AO55" s="36">
        <f>IF(AO$18="","",AO54/SQRT(AO$18/28.9626))</f>
        <v>45.994118356732343</v>
      </c>
      <c r="AP55" s="36">
        <f>IF(AP$18="","",AP54/SQRT(AP$18/28.9626))</f>
        <v>46.483799888270468</v>
      </c>
      <c r="AQ55" s="36" t="str">
        <f>IF(AQ$18="","",AQ54/SQRT(AQ$18/28.9626))</f>
        <v/>
      </c>
      <c r="AR55" s="36">
        <f>IF(AR$18="","",AR54/SQRT(AR$18/28.9626))</f>
        <v>46.279111546843822</v>
      </c>
      <c r="AS55" s="36">
        <f t="shared" si="27"/>
        <v>46.792776777208886</v>
      </c>
    </row>
    <row r="57" spans="1:45" x14ac:dyDescent="0.25">
      <c r="A57" s="47" t="s">
        <v>91</v>
      </c>
      <c r="B57" s="47" t="s">
        <v>99</v>
      </c>
      <c r="C57" s="36">
        <f>IF(C207=0,"",(C207*101.325)/(8.31451*293.15))</f>
        <v>40.158627134076028</v>
      </c>
      <c r="D57" s="36">
        <f t="shared" ref="D57:AS57" si="28">IF(D207=0,"",(D207*101.325)/(8.31451*293.15))</f>
        <v>40.416336323629551</v>
      </c>
      <c r="E57" s="36">
        <f>IF(E207=0,"",(E207*101.325)/(8.31451*293.15))</f>
        <v>39.274813143001609</v>
      </c>
      <c r="F57" s="36">
        <f>IF(F207=0,"",(F207*101.325)/(8.31451*293.15))</f>
        <v>39.143951834843229</v>
      </c>
      <c r="G57" s="36">
        <f t="shared" si="28"/>
        <v>39.358510035338369</v>
      </c>
      <c r="H57" s="36">
        <f>IF(H207=0,"",(H207*101.325)/(8.31451*293.15))</f>
        <v>40.025825085649565</v>
      </c>
      <c r="I57" s="36">
        <f>IF(I207=0,"",(I207*101.325)/(8.31451*293.15))</f>
        <v>38.93413937514287</v>
      </c>
      <c r="J57" s="36">
        <f>IF(J207=0,"",(J207*101.325)/(8.31451*293.15))</f>
        <v>41.475885852926034</v>
      </c>
      <c r="K57" s="36">
        <f t="shared" si="28"/>
        <v>39.895897960104548</v>
      </c>
      <c r="L57" s="36">
        <f>IF(L207=0,"",(L207*101.325)/(8.31451*293.15))</f>
        <v>41.435740485847376</v>
      </c>
      <c r="M57" s="36">
        <f>IF(M207=0,"",(M207*101.325)/(8.31451*293.15))</f>
        <v>41.000802404475323</v>
      </c>
      <c r="N57" s="36">
        <f t="shared" si="28"/>
        <v>37.017554703223709</v>
      </c>
      <c r="O57" s="36">
        <f t="shared" si="28"/>
        <v>36.988852615878038</v>
      </c>
      <c r="P57" s="36">
        <f t="shared" si="28"/>
        <v>37.012947518438651</v>
      </c>
      <c r="Q57" s="36">
        <f t="shared" si="28"/>
        <v>40.629967782713194</v>
      </c>
      <c r="R57" s="36">
        <f>IF(R207=0,"",(R207*101.325)/(8.31451*293.15))</f>
        <v>39.860564722643787</v>
      </c>
      <c r="S57" s="36">
        <f>IF(S207=0,"",(S207*101.325)/(8.31451*293.15))</f>
        <v>37.902325158946049</v>
      </c>
      <c r="T57" s="36">
        <f t="shared" si="28"/>
        <v>38.120472512986566</v>
      </c>
      <c r="U57" s="36">
        <f t="shared" si="28"/>
        <v>38.900815137466523</v>
      </c>
      <c r="V57" s="36">
        <f>IF(V207=0,"",(V207*101.325)/(8.31451*293.15))</f>
        <v>40.134397416892099</v>
      </c>
      <c r="W57" s="36">
        <f t="shared" si="28"/>
        <v>39.908958059185224</v>
      </c>
      <c r="X57" s="36">
        <f t="shared" si="28"/>
        <v>38.018798799415833</v>
      </c>
      <c r="Y57" s="36">
        <f t="shared" si="28"/>
        <v>40.186271448344257</v>
      </c>
      <c r="Z57" s="36">
        <f t="shared" si="28"/>
        <v>40.275288509001207</v>
      </c>
      <c r="AA57" s="36">
        <f>IF(AA207=0,"",(AA207*101.325)/(8.31451*293.15))</f>
        <v>41.115690403817425</v>
      </c>
      <c r="AB57" s="36">
        <f t="shared" si="28"/>
        <v>40.044457314639075</v>
      </c>
      <c r="AC57" s="36">
        <f t="shared" si="28"/>
        <v>39.358472746187246</v>
      </c>
      <c r="AD57" s="36">
        <f t="shared" si="28"/>
        <v>40.736680935911174</v>
      </c>
      <c r="AE57" s="36">
        <f t="shared" si="28"/>
        <v>41.707123943844771</v>
      </c>
      <c r="AF57" s="36">
        <f t="shared" si="28"/>
        <v>39.391923442723943</v>
      </c>
      <c r="AG57" s="36">
        <f t="shared" si="28"/>
        <v>40.58663620940451</v>
      </c>
      <c r="AH57" s="36">
        <f t="shared" si="28"/>
        <v>38.66453299254399</v>
      </c>
      <c r="AI57" s="36">
        <f t="shared" si="28"/>
        <v>40.181606937205331</v>
      </c>
      <c r="AJ57" s="36">
        <f>IF(AJ207=0,"",(AJ207*101.325)/(8.31451*293.15))</f>
        <v>38.844705731895637</v>
      </c>
      <c r="AK57" s="36">
        <f t="shared" si="28"/>
        <v>37.66479106299186</v>
      </c>
      <c r="AL57" s="36">
        <f t="shared" si="28"/>
        <v>41.103428799736619</v>
      </c>
      <c r="AM57" s="36">
        <f t="shared" si="28"/>
        <v>37.0083104857043</v>
      </c>
      <c r="AN57" s="36" t="str">
        <f>IF(AN207=0,"",(AN207*101.325)/(8.31451*293.15))</f>
        <v/>
      </c>
      <c r="AO57" s="36">
        <f>IF(AO207=0,"",(AO207*101.325)/(8.31451*293.15))</f>
        <v>37.77746183361085</v>
      </c>
      <c r="AP57" s="36">
        <f>IF(AP207=0,"",(AP207*101.325)/(8.31451*293.15))</f>
        <v>38.697729773656945</v>
      </c>
      <c r="AQ57" s="36" t="str">
        <f>IF(AQ207=0,"",(AQ207*101.325)/(8.31451*293.15))</f>
        <v/>
      </c>
      <c r="AR57" s="36">
        <f>IF(AR207=0,"",(AR207*101.325)/(8.31451*293.15))</f>
        <v>38.284510232487499</v>
      </c>
      <c r="AS57" s="36">
        <f t="shared" si="28"/>
        <v>39.198495678060127</v>
      </c>
    </row>
    <row r="58" spans="1:45" x14ac:dyDescent="0.25">
      <c r="A58" s="47" t="s">
        <v>93</v>
      </c>
      <c r="B58" s="47" t="s">
        <v>99</v>
      </c>
      <c r="C58" s="36">
        <f>IF(C$18="","",C57/SQRT(C$18/28.9626))</f>
        <v>51.320182997516518</v>
      </c>
      <c r="D58" s="36">
        <f t="shared" ref="D58:AS58" si="29">IF(D$18="","",D57/SQRT(D$18/28.9626))</f>
        <v>51.287174196343607</v>
      </c>
      <c r="E58" s="36">
        <f>IF(E$18="","",E57/SQRT(E$18/28.9626))</f>
        <v>50.71479219996435</v>
      </c>
      <c r="F58" s="36">
        <f>IF(F$18="","",F57/SQRT(F$18/28.9626))</f>
        <v>50.789010796360756</v>
      </c>
      <c r="G58" s="36">
        <f t="shared" si="29"/>
        <v>51.033907511878404</v>
      </c>
      <c r="H58" s="36">
        <f>IF(H$18="","",H57/SQRT(H$18/28.9626))</f>
        <v>51.356389956200204</v>
      </c>
      <c r="I58" s="36">
        <f>IF(I$18="","",I57/SQRT(I$18/28.9626))</f>
        <v>50.724177129329625</v>
      </c>
      <c r="J58" s="36">
        <f>IF(J$18="","",J57/SQRT(J$18/28.9626))</f>
        <v>52.176542878993594</v>
      </c>
      <c r="K58" s="36">
        <f t="shared" si="29"/>
        <v>51.235889124457579</v>
      </c>
      <c r="L58" s="36">
        <f>IF(L$18="","",L57/SQRT(L$18/28.9626))</f>
        <v>52.136086816991572</v>
      </c>
      <c r="M58" s="36">
        <f>IF(M$18="","",M57/SQRT(M$18/28.9626))</f>
        <v>51.896121323080521</v>
      </c>
      <c r="N58" s="36">
        <f t="shared" si="29"/>
        <v>49.696779403157052</v>
      </c>
      <c r="O58" s="36">
        <f t="shared" si="29"/>
        <v>49.661684414232155</v>
      </c>
      <c r="P58" s="36">
        <f t="shared" si="29"/>
        <v>49.698953219970342</v>
      </c>
      <c r="Q58" s="36">
        <f t="shared" si="29"/>
        <v>51.716406109963735</v>
      </c>
      <c r="R58" s="36">
        <f>IF(R$18="","",R57/SQRT(R$18/28.9626))</f>
        <v>51.197845545216175</v>
      </c>
      <c r="S58" s="36">
        <f>IF(S$18="","",S57/SQRT(S$18/28.9626))</f>
        <v>50.238718757795567</v>
      </c>
      <c r="T58" s="36">
        <f t="shared" si="29"/>
        <v>50.36679064950961</v>
      </c>
      <c r="U58" s="36">
        <f t="shared" si="29"/>
        <v>50.804256204993891</v>
      </c>
      <c r="V58" s="36">
        <f>IF(V$18="","",V57/SQRT(V$18/28.9626))</f>
        <v>51.438859966924845</v>
      </c>
      <c r="W58" s="36">
        <f t="shared" si="29"/>
        <v>51.338384638347897</v>
      </c>
      <c r="X58" s="36">
        <f t="shared" si="29"/>
        <v>50.171826606778836</v>
      </c>
      <c r="Y58" s="36">
        <f t="shared" si="29"/>
        <v>51.36820526315082</v>
      </c>
      <c r="Z58" s="36">
        <f t="shared" si="29"/>
        <v>51.444156681019557</v>
      </c>
      <c r="AA58" s="36">
        <f>IF(AA$18="","",AA57/SQRT(AA$18/28.9626))</f>
        <v>51.952635686449867</v>
      </c>
      <c r="AB58" s="36">
        <f t="shared" si="29"/>
        <v>51.412145296678581</v>
      </c>
      <c r="AC58" s="36">
        <f t="shared" si="29"/>
        <v>50.707502855696859</v>
      </c>
      <c r="AD58" s="36">
        <f t="shared" si="29"/>
        <v>51.682353676228928</v>
      </c>
      <c r="AE58" s="36">
        <f t="shared" si="29"/>
        <v>52.159903770783458</v>
      </c>
      <c r="AF58" s="36">
        <f t="shared" si="29"/>
        <v>50.764833960896063</v>
      </c>
      <c r="AG58" s="36">
        <f t="shared" si="29"/>
        <v>51.48016376518197</v>
      </c>
      <c r="AH58" s="36">
        <f t="shared" si="29"/>
        <v>50.524260304729587</v>
      </c>
      <c r="AI58" s="36">
        <f t="shared" si="29"/>
        <v>51.466321502451805</v>
      </c>
      <c r="AJ58" s="36">
        <f>IF(AJ$18="","",AJ57/SQRT(AJ$18/28.9626))</f>
        <v>50.646976203960925</v>
      </c>
      <c r="AK58" s="36">
        <f t="shared" si="29"/>
        <v>50.115499210007336</v>
      </c>
      <c r="AL58" s="36">
        <f t="shared" si="29"/>
        <v>51.835247770155569</v>
      </c>
      <c r="AM58" s="36">
        <f t="shared" si="29"/>
        <v>49.672633662302594</v>
      </c>
      <c r="AN58" s="36" t="str">
        <f>IF(AN$18="","",AN57/SQRT(AN$18/28.9626))</f>
        <v/>
      </c>
      <c r="AO58" s="36">
        <f>IF(AO$18="","",AO57/SQRT(AO$18/28.9626))</f>
        <v>50.151336038909236</v>
      </c>
      <c r="AP58" s="36">
        <f>IF(AP$18="","",AP57/SQRT(AP$18/28.9626))</f>
        <v>50.6408037068136</v>
      </c>
      <c r="AQ58" s="36" t="str">
        <f>IF(AQ$18="","",AQ57/SQRT(AQ$18/28.9626))</f>
        <v/>
      </c>
      <c r="AR58" s="36">
        <f>IF(AR$18="","",AR57/SQRT(AR$18/28.9626))</f>
        <v>50.438182030117517</v>
      </c>
      <c r="AS58" s="36">
        <f t="shared" si="29"/>
        <v>50.956374251162153</v>
      </c>
    </row>
    <row r="59" spans="1:45" ht="5.15" customHeight="1" x14ac:dyDescent="0.25"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  <c r="AI59" s="43"/>
      <c r="AJ59" s="43"/>
      <c r="AK59" s="43"/>
      <c r="AL59" s="43"/>
      <c r="AM59" s="43"/>
      <c r="AN59" s="43"/>
      <c r="AO59" s="43"/>
      <c r="AP59" s="43"/>
      <c r="AQ59" s="43"/>
      <c r="AR59" s="43"/>
      <c r="AS59" s="43"/>
    </row>
    <row r="60" spans="1:45" x14ac:dyDescent="0.25">
      <c r="A60" s="47" t="s">
        <v>94</v>
      </c>
      <c r="B60" s="47" t="s">
        <v>99</v>
      </c>
      <c r="C60" s="36">
        <f>IF(C221=0,"",(C221*101.325)/(8.31451*293.15))</f>
        <v>36.280753294403759</v>
      </c>
      <c r="D60" s="36">
        <f t="shared" ref="D60:AS60" si="30">IF(D221=0,"",(D221*101.325)/(8.31451*293.15))</f>
        <v>36.525957274050818</v>
      </c>
      <c r="E60" s="36">
        <f>IF(E221=0,"",(E221*101.325)/(8.31451*293.15))</f>
        <v>35.458899863092626</v>
      </c>
      <c r="F60" s="36">
        <f>IF(F221=0,"",(F221*101.325)/(8.31451*293.15))</f>
        <v>35.333005536378202</v>
      </c>
      <c r="G60" s="36">
        <f t="shared" si="30"/>
        <v>35.529914702659035</v>
      </c>
      <c r="H60" s="36">
        <f>IF(H221=0,"",(H221*101.325)/(8.31451*293.15))</f>
        <v>36.152920222827326</v>
      </c>
      <c r="I60" s="36">
        <f>IF(I221=0,"",(I221*101.325)/(8.31451*293.15))</f>
        <v>35.134779817793834</v>
      </c>
      <c r="J60" s="36">
        <f>IF(J221=0,"",(J221*101.325)/(8.31451*293.15))</f>
        <v>37.505899745198285</v>
      </c>
      <c r="K60" s="36">
        <f t="shared" si="30"/>
        <v>36.032921281806757</v>
      </c>
      <c r="L60" s="36">
        <f>IF(L221=0,"",(L221*101.325)/(8.31451*293.15))</f>
        <v>37.470346888355792</v>
      </c>
      <c r="M60" s="36">
        <f>IF(M221=0,"",(M221*101.325)/(8.31451*293.15))</f>
        <v>37.063725656243001</v>
      </c>
      <c r="N60" s="36">
        <f t="shared" si="30"/>
        <v>33.344327549477079</v>
      </c>
      <c r="O60" s="36">
        <f t="shared" si="30"/>
        <v>33.318015418193355</v>
      </c>
      <c r="P60" s="36">
        <f t="shared" si="30"/>
        <v>33.339904316190065</v>
      </c>
      <c r="Q60" s="36">
        <f t="shared" si="30"/>
        <v>36.715695075591242</v>
      </c>
      <c r="R60" s="36">
        <f>IF(R221=0,"",(R221*101.325)/(8.31451*293.15))</f>
        <v>36.000345030413889</v>
      </c>
      <c r="S60" s="36">
        <f>IF(S221=0,"",(S221*101.325)/(8.31451*293.15))</f>
        <v>34.169342078158365</v>
      </c>
      <c r="T60" s="36">
        <f t="shared" si="30"/>
        <v>34.372597093055738</v>
      </c>
      <c r="U60" s="36">
        <f t="shared" si="30"/>
        <v>35.101823025833014</v>
      </c>
      <c r="V60" s="36">
        <f>IF(V221=0,"",(V221*101.325)/(8.31451*293.15))</f>
        <v>36.253770498822185</v>
      </c>
      <c r="W60" s="36">
        <f t="shared" si="30"/>
        <v>36.042123055376003</v>
      </c>
      <c r="X60" s="36">
        <f t="shared" si="30"/>
        <v>34.281401007387913</v>
      </c>
      <c r="Y60" s="36">
        <f t="shared" si="30"/>
        <v>36.304357534923369</v>
      </c>
      <c r="Z60" s="36">
        <f t="shared" si="30"/>
        <v>36.386755210046928</v>
      </c>
      <c r="AA60" s="36">
        <f>IF(AA221=0,"",(AA221*101.325)/(8.31451*293.15))</f>
        <v>37.169974794385354</v>
      </c>
      <c r="AB60" s="36">
        <f t="shared" si="30"/>
        <v>36.169162454183919</v>
      </c>
      <c r="AC60" s="36">
        <f t="shared" si="30"/>
        <v>35.537963464081436</v>
      </c>
      <c r="AD60" s="36">
        <f t="shared" si="30"/>
        <v>36.817993766974787</v>
      </c>
      <c r="AE60" s="36">
        <f t="shared" si="30"/>
        <v>37.725552757839409</v>
      </c>
      <c r="AF60" s="36">
        <f t="shared" si="30"/>
        <v>35.569022708001619</v>
      </c>
      <c r="AG60" s="36">
        <f t="shared" si="30"/>
        <v>36.681551723718847</v>
      </c>
      <c r="AH60" s="36">
        <f t="shared" si="30"/>
        <v>34.885947025905551</v>
      </c>
      <c r="AI60" s="36">
        <f t="shared" si="30"/>
        <v>36.2974872686463</v>
      </c>
      <c r="AJ60" s="36">
        <f>IF(AJ221=0,"",(AJ221*101.325)/(8.31451*293.15))</f>
        <v>35.051965144370406</v>
      </c>
      <c r="AK60" s="36">
        <f t="shared" si="30"/>
        <v>33.947252840976795</v>
      </c>
      <c r="AL60" s="36">
        <f t="shared" si="30"/>
        <v>37.16304000997836</v>
      </c>
      <c r="AM60" s="36">
        <f t="shared" si="30"/>
        <v>33.336186209526751</v>
      </c>
      <c r="AN60" s="36" t="str">
        <f>IF(AN221=0,"",(AN221*101.325)/(8.31451*293.15))</f>
        <v/>
      </c>
      <c r="AO60" s="36">
        <f>IF(AO221=0,"",(AO221*101.325)/(8.31451*293.15))</f>
        <v>34.05330372721086</v>
      </c>
      <c r="AP60" s="36">
        <f>IF(AP221=0,"",(AP221*101.325)/(8.31451*293.15))</f>
        <v>34.913446299094289</v>
      </c>
      <c r="AQ60" s="36" t="str">
        <f>IF(AQ221=0,"",(AQ221*101.325)/(8.31451*293.15))</f>
        <v/>
      </c>
      <c r="AR60" s="36">
        <f>IF(AR221=0,"",(AR221*101.325)/(8.31451*293.15))</f>
        <v>34.526704507913244</v>
      </c>
      <c r="AS60" s="36">
        <f t="shared" si="30"/>
        <v>35.379829777034061</v>
      </c>
    </row>
    <row r="61" spans="1:45" x14ac:dyDescent="0.25">
      <c r="A61" s="47" t="s">
        <v>95</v>
      </c>
      <c r="B61" s="47" t="s">
        <v>99</v>
      </c>
      <c r="C61" s="36">
        <f>IF(C$18="","",C60/SQRT(C$18/28.9626))</f>
        <v>46.364505742195384</v>
      </c>
      <c r="D61" s="36">
        <f t="shared" ref="D61:AS61" si="31">IF(D$18="","",D60/SQRT(D$18/28.9626))</f>
        <v>46.350394513794889</v>
      </c>
      <c r="E61" s="36">
        <f>IF(E$18="","",E60/SQRT(E$18/28.9626))</f>
        <v>45.787378584041079</v>
      </c>
      <c r="F61" s="36">
        <f>IF(F$18="","",F60/SQRT(F$18/28.9626))</f>
        <v>45.844333940182871</v>
      </c>
      <c r="G61" s="36">
        <f t="shared" si="31"/>
        <v>46.069588996443358</v>
      </c>
      <c r="H61" s="36">
        <f>IF(H$18="","",H60/SQRT(H$18/28.9626))</f>
        <v>46.38713793022076</v>
      </c>
      <c r="I61" s="36">
        <f>IF(I$18="","",I60/SQRT(I$18/28.9626))</f>
        <v>45.77429534799446</v>
      </c>
      <c r="J61" s="36">
        <f>IF(J$18="","",J60/SQRT(J$18/28.9626))</f>
        <v>47.182311987497094</v>
      </c>
      <c r="K61" s="36">
        <f t="shared" si="31"/>
        <v>46.274901782411739</v>
      </c>
      <c r="L61" s="36">
        <f>IF(L$18="","",L60/SQRT(L$18/28.9626))</f>
        <v>47.146671823117451</v>
      </c>
      <c r="M61" s="36">
        <f>IF(M$18="","",M60/SQRT(M$18/28.9626))</f>
        <v>46.912828299472714</v>
      </c>
      <c r="N61" s="36">
        <f t="shared" si="31"/>
        <v>44.765401276726259</v>
      </c>
      <c r="O61" s="36">
        <f t="shared" si="31"/>
        <v>44.733173645309684</v>
      </c>
      <c r="P61" s="36">
        <f t="shared" si="31"/>
        <v>44.766992527227785</v>
      </c>
      <c r="Q61" s="36">
        <f t="shared" si="31"/>
        <v>46.734070952100417</v>
      </c>
      <c r="R61" s="36">
        <f>IF(R$18="","",R60/SQRT(R$18/28.9626))</f>
        <v>46.239688706532029</v>
      </c>
      <c r="S61" s="36">
        <f>IF(S$18="","",S60/SQRT(S$18/28.9626))</f>
        <v>45.290729779894122</v>
      </c>
      <c r="T61" s="36">
        <f t="shared" si="31"/>
        <v>45.41489881260253</v>
      </c>
      <c r="U61" s="36">
        <f t="shared" si="31"/>
        <v>45.842792855751867</v>
      </c>
      <c r="V61" s="36">
        <f>IF(V$18="","",V60/SQRT(V$18/28.9626))</f>
        <v>46.465195542640707</v>
      </c>
      <c r="W61" s="36">
        <f t="shared" si="31"/>
        <v>46.364136439129481</v>
      </c>
      <c r="X61" s="36">
        <f t="shared" si="31"/>
        <v>45.23973827407054</v>
      </c>
      <c r="Y61" s="36">
        <f t="shared" si="31"/>
        <v>46.4061387779631</v>
      </c>
      <c r="Z61" s="36">
        <f t="shared" si="31"/>
        <v>46.477281862827802</v>
      </c>
      <c r="AA61" s="36">
        <f>IF(AA$18="","",AA60/SQRT(AA$18/28.9626))</f>
        <v>46.966939871400868</v>
      </c>
      <c r="AB61" s="36">
        <f t="shared" si="31"/>
        <v>46.436744559749201</v>
      </c>
      <c r="AC61" s="36">
        <f t="shared" si="31"/>
        <v>45.785348315252605</v>
      </c>
      <c r="AD61" s="36">
        <f t="shared" si="31"/>
        <v>46.710741567473789</v>
      </c>
      <c r="AE61" s="36">
        <f t="shared" si="31"/>
        <v>47.180457808549626</v>
      </c>
      <c r="AF61" s="36">
        <f t="shared" si="31"/>
        <v>45.838216926585879</v>
      </c>
      <c r="AG61" s="36">
        <f t="shared" si="31"/>
        <v>46.526947445338578</v>
      </c>
      <c r="AH61" s="36">
        <f t="shared" si="31"/>
        <v>45.586653506296159</v>
      </c>
      <c r="AI61" s="36">
        <f t="shared" si="31"/>
        <v>46.491374832736582</v>
      </c>
      <c r="AJ61" s="36">
        <f>IF(AJ$18="","",AJ60/SQRT(AJ$18/28.9626))</f>
        <v>45.701879088024732</v>
      </c>
      <c r="AK61" s="36">
        <f t="shared" si="31"/>
        <v>45.169068377111351</v>
      </c>
      <c r="AL61" s="36">
        <f t="shared" si="31"/>
        <v>46.86605091256466</v>
      </c>
      <c r="AM61" s="36">
        <f t="shared" si="31"/>
        <v>44.743900587511867</v>
      </c>
      <c r="AN61" s="36" t="str">
        <f>IF(AN$18="","",AN60/SQRT(AN$18/28.9626))</f>
        <v/>
      </c>
      <c r="AO61" s="36">
        <f>IF(AO$18="","",AO60/SQRT(AO$18/28.9626))</f>
        <v>45.207343097331517</v>
      </c>
      <c r="AP61" s="36">
        <f>IF(AP$18="","",AP60/SQRT(AP$18/28.9626))</f>
        <v>45.688597008199402</v>
      </c>
      <c r="AQ61" s="36" t="str">
        <f>IF(AQ$18="","",AQ60/SQRT(AQ$18/28.9626))</f>
        <v/>
      </c>
      <c r="AR61" s="36">
        <f>IF(AR$18="","",AR60/SQRT(AR$18/28.9626))</f>
        <v>45.487435944588213</v>
      </c>
      <c r="AS61" s="36">
        <f t="shared" si="31"/>
        <v>45.992271281727348</v>
      </c>
    </row>
    <row r="63" spans="1:45" x14ac:dyDescent="0.25">
      <c r="A63" s="48" t="s">
        <v>91</v>
      </c>
      <c r="B63" s="48" t="s">
        <v>100</v>
      </c>
      <c r="C63" s="36">
        <f>IF(C235=0,"",(C235*101.325)/(8.31451*273.15))</f>
        <v>43.077250540440026</v>
      </c>
      <c r="D63" s="36">
        <f t="shared" ref="D63:AS63" si="32">IF(D235=0,"",(D235*101.325)/(8.31451*273.15))</f>
        <v>43.353750857345972</v>
      </c>
      <c r="E63" s="36">
        <f>IF(E235=0,"",(E235*101.325)/(8.31451*273.15))</f>
        <v>42.129097030699135</v>
      </c>
      <c r="F63" s="36">
        <f>IF(F235=0,"",(F235*101.325)/(8.31451*273.15))</f>
        <v>41.988686066954592</v>
      </c>
      <c r="G63" s="36">
        <f t="shared" si="32"/>
        <v>42.218851481892038</v>
      </c>
      <c r="H63" s="36">
        <f>IF(H235=0,"",(H235*101.325)/(8.31451*273.15))</f>
        <v>42.934784263049224</v>
      </c>
      <c r="I63" s="36">
        <f>IF(I235=0,"",(I235*101.325)/(8.31451*273.15))</f>
        <v>41.7636098598757</v>
      </c>
      <c r="J63" s="36">
        <f>IF(J235=0,"",(J235*101.325)/(8.31451*273.15))</f>
        <v>44.490421127229006</v>
      </c>
      <c r="K63" s="36">
        <f t="shared" si="32"/>
        <v>42.795404168391904</v>
      </c>
      <c r="L63" s="36">
        <f>IF(L235=0,"",(L235*101.325)/(8.31451*273.15))</f>
        <v>44.447325570530843</v>
      </c>
      <c r="M63" s="36">
        <f>IF(M235=0,"",(M235*101.325)/(8.31451*273.15))</f>
        <v>43.980732744097658</v>
      </c>
      <c r="N63" s="36">
        <f t="shared" si="32"/>
        <v>39.707468921772495</v>
      </c>
      <c r="O63" s="36">
        <f t="shared" si="32"/>
        <v>39.676679191920819</v>
      </c>
      <c r="P63" s="36">
        <f t="shared" si="32"/>
        <v>39.702525738086116</v>
      </c>
      <c r="Q63" s="36">
        <f t="shared" si="32"/>
        <v>43.582921853470751</v>
      </c>
      <c r="R63" s="36">
        <f>IF(R235=0,"",(R235*101.325)/(8.31451*273.15))</f>
        <v>42.757500612003476</v>
      </c>
      <c r="S63" s="36">
        <f>IF(S235=0,"",(S235*101.325)/(8.31451*273.15))</f>
        <v>40.656652497534573</v>
      </c>
      <c r="T63" s="36">
        <f t="shared" si="32"/>
        <v>40.890687307653621</v>
      </c>
      <c r="U63" s="36">
        <f t="shared" si="32"/>
        <v>41.727831796181142</v>
      </c>
      <c r="V63" s="36">
        <f>IF(V235=0,"",(V235*101.325)/(8.31451*273.15))</f>
        <v>43.051256542429599</v>
      </c>
      <c r="W63" s="36">
        <f t="shared" si="32"/>
        <v>42.809412004448504</v>
      </c>
      <c r="X63" s="36">
        <f t="shared" si="32"/>
        <v>40.781625141558386</v>
      </c>
      <c r="Y63" s="36">
        <f t="shared" si="32"/>
        <v>43.106931994562629</v>
      </c>
      <c r="Z63" s="36">
        <f t="shared" si="32"/>
        <v>43.20242497710997</v>
      </c>
      <c r="AA63" s="36">
        <f>IF(AA235=0,"",(AA235*101.325)/(8.31451*273.15))</f>
        <v>44.10400900037353</v>
      </c>
      <c r="AB63" s="36">
        <f t="shared" si="32"/>
        <v>42.954764858050815</v>
      </c>
      <c r="AC63" s="36">
        <f t="shared" si="32"/>
        <v>42.21886624938395</v>
      </c>
      <c r="AD63" s="36">
        <f t="shared" si="32"/>
        <v>43.697412924353067</v>
      </c>
      <c r="AE63" s="36">
        <f t="shared" si="32"/>
        <v>44.738518337279558</v>
      </c>
      <c r="AF63" s="36">
        <f t="shared" si="32"/>
        <v>42.254729884224929</v>
      </c>
      <c r="AG63" s="36">
        <f t="shared" si="32"/>
        <v>43.536452348713546</v>
      </c>
      <c r="AH63" s="36">
        <f t="shared" si="32"/>
        <v>41.47436716050921</v>
      </c>
      <c r="AI63" s="36">
        <f t="shared" si="32"/>
        <v>43.101909887331928</v>
      </c>
      <c r="AJ63" s="36">
        <f>IF(AJ235=0,"",(AJ235*101.325)/(8.31451*273.15))</f>
        <v>41.667668588027396</v>
      </c>
      <c r="AK63" s="36">
        <f t="shared" si="32"/>
        <v>40.401823318842091</v>
      </c>
      <c r="AL63" s="36">
        <f t="shared" si="32"/>
        <v>44.090841617526728</v>
      </c>
      <c r="AM63" s="36">
        <f t="shared" si="32"/>
        <v>39.697553733252406</v>
      </c>
      <c r="AN63" s="36" t="str">
        <f>IF(AN235=0,"",(AN235*101.325)/(8.31451*273.15))</f>
        <v/>
      </c>
      <c r="AO63" s="36">
        <f>IF(AO235=0,"",(AO235*101.325)/(8.31451*273.15))</f>
        <v>40.522698184629789</v>
      </c>
      <c r="AP63" s="36">
        <f>IF(AP235=0,"",(AP235*101.325)/(8.31451*273.15))</f>
        <v>41.509967880456614</v>
      </c>
      <c r="AQ63" s="36" t="str">
        <f>IF(AQ235=0,"",(AQ235*101.325)/(8.31451*273.15))</f>
        <v/>
      </c>
      <c r="AR63" s="36">
        <f>IF(AR235=0,"",(AR235*101.325)/(8.31451*273.15))</f>
        <v>41.06666285337446</v>
      </c>
      <c r="AS63" s="36">
        <f t="shared" si="32"/>
        <v>42.047192192980866</v>
      </c>
    </row>
    <row r="64" spans="1:45" x14ac:dyDescent="0.25">
      <c r="A64" s="48" t="s">
        <v>93</v>
      </c>
      <c r="B64" s="48" t="s">
        <v>100</v>
      </c>
      <c r="C64" s="36">
        <f>IF(C$18="","",C63/SQRT(C$18/28.9626))</f>
        <v>55.049998930101978</v>
      </c>
      <c r="D64" s="36">
        <f t="shared" ref="D64:AS64" si="33">IF(D$18="","",D63/SQRT(D$18/28.9626))</f>
        <v>55.014669179343997</v>
      </c>
      <c r="E64" s="36">
        <f>IF(E$18="","",E63/SQRT(E$18/28.9626))</f>
        <v>54.400472733114903</v>
      </c>
      <c r="F64" s="36">
        <f>IF(F$18="","",F63/SQRT(F$18/28.9626))</f>
        <v>54.480034079780857</v>
      </c>
      <c r="G64" s="36">
        <f t="shared" si="33"/>
        <v>54.742747117461747</v>
      </c>
      <c r="H64" s="36">
        <f>IF(H$18="","",H63/SQRT(H$18/28.9626))</f>
        <v>55.088821244287914</v>
      </c>
      <c r="I64" s="36">
        <f>IF(I$18="","",I63/SQRT(I$18/28.9626))</f>
        <v>54.41046798751227</v>
      </c>
      <c r="J64" s="36">
        <f>IF(J$18="","",J63/SQRT(J$18/28.9626))</f>
        <v>55.968819421504413</v>
      </c>
      <c r="K64" s="36">
        <f t="shared" si="33"/>
        <v>54.959549605844522</v>
      </c>
      <c r="L64" s="36">
        <f>IF(L$18="","",L63/SQRT(L$18/28.9626))</f>
        <v>55.925382231790365</v>
      </c>
      <c r="M64" s="36">
        <f>IF(M$18="","",M63/SQRT(M$18/28.9626))</f>
        <v>55.667921321377364</v>
      </c>
      <c r="N64" s="36">
        <f t="shared" si="33"/>
        <v>53.308040995241441</v>
      </c>
      <c r="O64" s="36">
        <f t="shared" si="33"/>
        <v>53.270393139690796</v>
      </c>
      <c r="P64" s="36">
        <f t="shared" si="33"/>
        <v>53.310371144822739</v>
      </c>
      <c r="Q64" s="36">
        <f t="shared" si="33"/>
        <v>55.475113790070353</v>
      </c>
      <c r="R64" s="36">
        <f>IF(R$18="","",R63/SQRT(R$18/28.9626))</f>
        <v>54.918738042596566</v>
      </c>
      <c r="S64" s="36">
        <f>IF(S$18="","",S63/SQRT(S$18/28.9626))</f>
        <v>53.889520547658748</v>
      </c>
      <c r="T64" s="36">
        <f t="shared" si="33"/>
        <v>54.026945401516869</v>
      </c>
      <c r="U64" s="36">
        <f t="shared" si="33"/>
        <v>54.496324818918495</v>
      </c>
      <c r="V64" s="36">
        <f>IF(V$18="","",V63/SQRT(V$18/28.9626))</f>
        <v>55.177296763253082</v>
      </c>
      <c r="W64" s="36">
        <f t="shared" si="33"/>
        <v>55.069492327175887</v>
      </c>
      <c r="X64" s="36">
        <f t="shared" si="33"/>
        <v>53.817813554287213</v>
      </c>
      <c r="Y64" s="36">
        <f t="shared" si="33"/>
        <v>55.10154714919716</v>
      </c>
      <c r="Z64" s="36">
        <f t="shared" si="33"/>
        <v>55.183026659777354</v>
      </c>
      <c r="AA64" s="36">
        <f>IF(AA$18="","",AA63/SQRT(AA$18/28.9626))</f>
        <v>55.728591430768539</v>
      </c>
      <c r="AB64" s="36">
        <f t="shared" si="33"/>
        <v>55.148621311430453</v>
      </c>
      <c r="AC64" s="36">
        <f t="shared" si="33"/>
        <v>54.392691878835826</v>
      </c>
      <c r="AD64" s="36">
        <f t="shared" si="33"/>
        <v>55.438614477346057</v>
      </c>
      <c r="AE64" s="36">
        <f t="shared" si="33"/>
        <v>55.951036433532941</v>
      </c>
      <c r="AF64" s="36">
        <f t="shared" si="33"/>
        <v>54.454166213896904</v>
      </c>
      <c r="AG64" s="36">
        <f t="shared" si="33"/>
        <v>55.221715963430384</v>
      </c>
      <c r="AH64" s="36">
        <f t="shared" si="33"/>
        <v>54.19596617901945</v>
      </c>
      <c r="AI64" s="36">
        <f t="shared" si="33"/>
        <v>55.206770478289286</v>
      </c>
      <c r="AJ64" s="36">
        <f>IF(AJ$18="","",AJ63/SQRT(AJ$18/28.9626))</f>
        <v>54.327645935017053</v>
      </c>
      <c r="AK64" s="36">
        <f t="shared" si="33"/>
        <v>53.757301911804433</v>
      </c>
      <c r="AL64" s="36">
        <f t="shared" si="33"/>
        <v>55.602653267063438</v>
      </c>
      <c r="AM64" s="36">
        <f t="shared" si="33"/>
        <v>53.282141713632811</v>
      </c>
      <c r="AN64" s="36" t="str">
        <f>IF(AN$18="","",AN63/SQRT(AN$18/28.9626))</f>
        <v/>
      </c>
      <c r="AO64" s="36">
        <f>IF(AO$18="","",AO63/SQRT(AO$18/28.9626))</f>
        <v>53.795764861379446</v>
      </c>
      <c r="AP64" s="36">
        <f>IF(AP$18="","",AP63/SQRT(AP$18/28.9626))</f>
        <v>54.320967860531212</v>
      </c>
      <c r="AQ64" s="36" t="str">
        <f>IF(AQ$18="","",AQ63/SQRT(AQ$18/28.9626))</f>
        <v/>
      </c>
      <c r="AR64" s="36">
        <f>IF(AR$18="","",AR63/SQRT(AR$18/28.9626))</f>
        <v>54.103547460567412</v>
      </c>
      <c r="AS64" s="36">
        <f t="shared" si="33"/>
        <v>54.659558346145928</v>
      </c>
    </row>
    <row r="65" spans="1:45" ht="5.15" customHeight="1" x14ac:dyDescent="0.25"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  <c r="AG65" s="43"/>
      <c r="AH65" s="43"/>
      <c r="AI65" s="43"/>
      <c r="AJ65" s="43"/>
      <c r="AK65" s="43"/>
      <c r="AL65" s="43"/>
      <c r="AM65" s="43"/>
      <c r="AN65" s="43"/>
      <c r="AO65" s="43"/>
      <c r="AP65" s="43"/>
      <c r="AQ65" s="43"/>
      <c r="AR65" s="43"/>
      <c r="AS65" s="43"/>
    </row>
    <row r="66" spans="1:45" x14ac:dyDescent="0.25">
      <c r="A66" s="48" t="s">
        <v>94</v>
      </c>
      <c r="B66" s="48" t="s">
        <v>100</v>
      </c>
      <c r="C66" s="36">
        <f>IF(C235=0,"",(C235*101.325)/(8.31451*273.15))</f>
        <v>43.077250540440026</v>
      </c>
      <c r="D66" s="36">
        <f t="shared" ref="D66:AS66" si="34">IF(D235=0,"",(D235*101.325)/(8.31451*273.15))</f>
        <v>43.353750857345972</v>
      </c>
      <c r="E66" s="36">
        <f>IF(E235=0,"",(E235*101.325)/(8.31451*273.15))</f>
        <v>42.129097030699135</v>
      </c>
      <c r="F66" s="36">
        <f>IF(F235=0,"",(F235*101.325)/(8.31451*273.15))</f>
        <v>41.988686066954592</v>
      </c>
      <c r="G66" s="36">
        <f t="shared" si="34"/>
        <v>42.218851481892038</v>
      </c>
      <c r="H66" s="36">
        <f>IF(H235=0,"",(H235*101.325)/(8.31451*273.15))</f>
        <v>42.934784263049224</v>
      </c>
      <c r="I66" s="36">
        <f>IF(I235=0,"",(I235*101.325)/(8.31451*273.15))</f>
        <v>41.7636098598757</v>
      </c>
      <c r="J66" s="36">
        <f>IF(J235=0,"",(J235*101.325)/(8.31451*273.15))</f>
        <v>44.490421127229006</v>
      </c>
      <c r="K66" s="36">
        <f t="shared" si="34"/>
        <v>42.795404168391904</v>
      </c>
      <c r="L66" s="36">
        <f>IF(L235=0,"",(L235*101.325)/(8.31451*273.15))</f>
        <v>44.447325570530843</v>
      </c>
      <c r="M66" s="36">
        <f>IF(M235=0,"",(M235*101.325)/(8.31451*273.15))</f>
        <v>43.980732744097658</v>
      </c>
      <c r="N66" s="36">
        <f t="shared" si="34"/>
        <v>39.707468921772495</v>
      </c>
      <c r="O66" s="36">
        <f t="shared" si="34"/>
        <v>39.676679191920819</v>
      </c>
      <c r="P66" s="36">
        <f t="shared" si="34"/>
        <v>39.702525738086116</v>
      </c>
      <c r="Q66" s="36">
        <f t="shared" si="34"/>
        <v>43.582921853470751</v>
      </c>
      <c r="R66" s="36">
        <f>IF(R235=0,"",(R235*101.325)/(8.31451*273.15))</f>
        <v>42.757500612003476</v>
      </c>
      <c r="S66" s="36">
        <f>IF(S235=0,"",(S235*101.325)/(8.31451*273.15))</f>
        <v>40.656652497534573</v>
      </c>
      <c r="T66" s="36">
        <f t="shared" si="34"/>
        <v>40.890687307653621</v>
      </c>
      <c r="U66" s="36">
        <f t="shared" si="34"/>
        <v>41.727831796181142</v>
      </c>
      <c r="V66" s="36">
        <f>IF(V235=0,"",(V235*101.325)/(8.31451*273.15))</f>
        <v>43.051256542429599</v>
      </c>
      <c r="W66" s="36">
        <f t="shared" si="34"/>
        <v>42.809412004448504</v>
      </c>
      <c r="X66" s="36">
        <f t="shared" si="34"/>
        <v>40.781625141558386</v>
      </c>
      <c r="Y66" s="36">
        <f t="shared" si="34"/>
        <v>43.106931994562629</v>
      </c>
      <c r="Z66" s="36">
        <f t="shared" si="34"/>
        <v>43.20242497710997</v>
      </c>
      <c r="AA66" s="36">
        <f>IF(AA235=0,"",(AA235*101.325)/(8.31451*273.15))</f>
        <v>44.10400900037353</v>
      </c>
      <c r="AB66" s="36">
        <f t="shared" si="34"/>
        <v>42.954764858050815</v>
      </c>
      <c r="AC66" s="36">
        <f t="shared" si="34"/>
        <v>42.21886624938395</v>
      </c>
      <c r="AD66" s="36">
        <f t="shared" si="34"/>
        <v>43.697412924353067</v>
      </c>
      <c r="AE66" s="36">
        <f t="shared" si="34"/>
        <v>44.738518337279558</v>
      </c>
      <c r="AF66" s="36">
        <f t="shared" si="34"/>
        <v>42.254729884224929</v>
      </c>
      <c r="AG66" s="36">
        <f t="shared" si="34"/>
        <v>43.536452348713546</v>
      </c>
      <c r="AH66" s="36">
        <f t="shared" si="34"/>
        <v>41.47436716050921</v>
      </c>
      <c r="AI66" s="36">
        <f t="shared" si="34"/>
        <v>43.101909887331928</v>
      </c>
      <c r="AJ66" s="36">
        <f>IF(AJ235=0,"",(AJ235*101.325)/(8.31451*273.15))</f>
        <v>41.667668588027396</v>
      </c>
      <c r="AK66" s="36">
        <f t="shared" si="34"/>
        <v>40.401823318842091</v>
      </c>
      <c r="AL66" s="36">
        <f t="shared" si="34"/>
        <v>44.090841617526728</v>
      </c>
      <c r="AM66" s="36">
        <f t="shared" si="34"/>
        <v>39.697553733252406</v>
      </c>
      <c r="AN66" s="36" t="str">
        <f>IF(AN235=0,"",(AN235*101.325)/(8.31451*273.15))</f>
        <v/>
      </c>
      <c r="AO66" s="36">
        <f>IF(AO235=0,"",(AO235*101.325)/(8.31451*273.15))</f>
        <v>40.522698184629789</v>
      </c>
      <c r="AP66" s="36">
        <f>IF(AP235=0,"",(AP235*101.325)/(8.31451*273.15))</f>
        <v>41.509967880456614</v>
      </c>
      <c r="AQ66" s="36" t="str">
        <f>IF(AQ235=0,"",(AQ235*101.325)/(8.31451*273.15))</f>
        <v/>
      </c>
      <c r="AR66" s="36">
        <f>IF(AR235=0,"",(AR235*101.325)/(8.31451*273.15))</f>
        <v>41.06666285337446</v>
      </c>
      <c r="AS66" s="36">
        <f t="shared" si="34"/>
        <v>42.047192192980866</v>
      </c>
    </row>
    <row r="67" spans="1:45" x14ac:dyDescent="0.25">
      <c r="A67" s="48" t="s">
        <v>95</v>
      </c>
      <c r="B67" s="48" t="s">
        <v>100</v>
      </c>
      <c r="C67" s="36">
        <f>IF(C$18="","",C66/SQRT(C$18/28.9626))</f>
        <v>55.049998930101978</v>
      </c>
      <c r="D67" s="36">
        <f t="shared" ref="D67:AS67" si="35">IF(D$18="","",D66/SQRT(D$18/28.9626))</f>
        <v>55.014669179343997</v>
      </c>
      <c r="E67" s="36">
        <f>IF(E$18="","",E66/SQRT(E$18/28.9626))</f>
        <v>54.400472733114903</v>
      </c>
      <c r="F67" s="36">
        <f>IF(F$18="","",F66/SQRT(F$18/28.9626))</f>
        <v>54.480034079780857</v>
      </c>
      <c r="G67" s="36">
        <f t="shared" si="35"/>
        <v>54.742747117461747</v>
      </c>
      <c r="H67" s="36">
        <f>IF(H$18="","",H66/SQRT(H$18/28.9626))</f>
        <v>55.088821244287914</v>
      </c>
      <c r="I67" s="36">
        <f>IF(I$18="","",I66/SQRT(I$18/28.9626))</f>
        <v>54.41046798751227</v>
      </c>
      <c r="J67" s="36">
        <f>IF(J$18="","",J66/SQRT(J$18/28.9626))</f>
        <v>55.968819421504413</v>
      </c>
      <c r="K67" s="36">
        <f t="shared" si="35"/>
        <v>54.959549605844522</v>
      </c>
      <c r="L67" s="36">
        <f>IF(L$18="","",L66/SQRT(L$18/28.9626))</f>
        <v>55.925382231790365</v>
      </c>
      <c r="M67" s="36">
        <f>IF(M$18="","",M66/SQRT(M$18/28.9626))</f>
        <v>55.667921321377364</v>
      </c>
      <c r="N67" s="36">
        <f t="shared" si="35"/>
        <v>53.308040995241441</v>
      </c>
      <c r="O67" s="36">
        <f t="shared" si="35"/>
        <v>53.270393139690796</v>
      </c>
      <c r="P67" s="36">
        <f t="shared" si="35"/>
        <v>53.310371144822739</v>
      </c>
      <c r="Q67" s="36">
        <f t="shared" si="35"/>
        <v>55.475113790070353</v>
      </c>
      <c r="R67" s="36">
        <f>IF(R$18="","",R66/SQRT(R$18/28.9626))</f>
        <v>54.918738042596566</v>
      </c>
      <c r="S67" s="36">
        <f>IF(S$18="","",S66/SQRT(S$18/28.9626))</f>
        <v>53.889520547658748</v>
      </c>
      <c r="T67" s="36">
        <f t="shared" si="35"/>
        <v>54.026945401516869</v>
      </c>
      <c r="U67" s="36">
        <f t="shared" si="35"/>
        <v>54.496324818918495</v>
      </c>
      <c r="V67" s="36">
        <f>IF(V$18="","",V66/SQRT(V$18/28.9626))</f>
        <v>55.177296763253082</v>
      </c>
      <c r="W67" s="36">
        <f t="shared" si="35"/>
        <v>55.069492327175887</v>
      </c>
      <c r="X67" s="36">
        <f t="shared" si="35"/>
        <v>53.817813554287213</v>
      </c>
      <c r="Y67" s="36">
        <f t="shared" si="35"/>
        <v>55.10154714919716</v>
      </c>
      <c r="Z67" s="36">
        <f t="shared" si="35"/>
        <v>55.183026659777354</v>
      </c>
      <c r="AA67" s="36">
        <f>IF(AA$18="","",AA66/SQRT(AA$18/28.9626))</f>
        <v>55.728591430768539</v>
      </c>
      <c r="AB67" s="36">
        <f t="shared" si="35"/>
        <v>55.148621311430453</v>
      </c>
      <c r="AC67" s="36">
        <f t="shared" si="35"/>
        <v>54.392691878835826</v>
      </c>
      <c r="AD67" s="36">
        <f t="shared" si="35"/>
        <v>55.438614477346057</v>
      </c>
      <c r="AE67" s="36">
        <f t="shared" si="35"/>
        <v>55.951036433532941</v>
      </c>
      <c r="AF67" s="36">
        <f t="shared" si="35"/>
        <v>54.454166213896904</v>
      </c>
      <c r="AG67" s="36">
        <f t="shared" si="35"/>
        <v>55.221715963430384</v>
      </c>
      <c r="AH67" s="36">
        <f t="shared" si="35"/>
        <v>54.19596617901945</v>
      </c>
      <c r="AI67" s="36">
        <f t="shared" si="35"/>
        <v>55.206770478289286</v>
      </c>
      <c r="AJ67" s="36">
        <f>IF(AJ$18="","",AJ66/SQRT(AJ$18/28.9626))</f>
        <v>54.327645935017053</v>
      </c>
      <c r="AK67" s="36">
        <f t="shared" si="35"/>
        <v>53.757301911804433</v>
      </c>
      <c r="AL67" s="36">
        <f t="shared" si="35"/>
        <v>55.602653267063438</v>
      </c>
      <c r="AM67" s="36">
        <f t="shared" si="35"/>
        <v>53.282141713632811</v>
      </c>
      <c r="AN67" s="36" t="str">
        <f>IF(AN$18="","",AN66/SQRT(AN$18/28.9626))</f>
        <v/>
      </c>
      <c r="AO67" s="36">
        <f>IF(AO$18="","",AO66/SQRT(AO$18/28.9626))</f>
        <v>53.795764861379446</v>
      </c>
      <c r="AP67" s="36">
        <f>IF(AP$18="","",AP66/SQRT(AP$18/28.9626))</f>
        <v>54.320967860531212</v>
      </c>
      <c r="AQ67" s="36" t="str">
        <f>IF(AQ$18="","",AQ66/SQRT(AQ$18/28.9626))</f>
        <v/>
      </c>
      <c r="AR67" s="36">
        <f>IF(AR$18="","",AR66/SQRT(AR$18/28.9626))</f>
        <v>54.103547460567412</v>
      </c>
      <c r="AS67" s="36">
        <f t="shared" si="35"/>
        <v>54.659558346145928</v>
      </c>
    </row>
    <row r="68" spans="1:45" x14ac:dyDescent="0.25"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</row>
    <row r="69" spans="1:45" x14ac:dyDescent="0.25">
      <c r="A69" s="50" t="s">
        <v>91</v>
      </c>
      <c r="B69" s="50" t="s">
        <v>101</v>
      </c>
      <c r="C69" s="36">
        <f>IF(C235=0,"",(C235*101.325)/(8.31451*293.15))</f>
        <v>40.138328450012601</v>
      </c>
      <c r="D69" s="36">
        <f t="shared" ref="D69:AS69" si="36">IF(D235=0,"",(D235*101.325)/(8.31451*293.15))</f>
        <v>40.395964682531307</v>
      </c>
      <c r="E69" s="36">
        <f>IF(E235=0,"",(E235*101.325)/(8.31451*293.15))</f>
        <v>39.254862200018657</v>
      </c>
      <c r="F69" s="36">
        <f>IF(F235=0,"",(F235*101.325)/(8.31451*293.15))</f>
        <v>39.124030698238606</v>
      </c>
      <c r="G69" s="36">
        <f t="shared" si="36"/>
        <v>39.338493202383802</v>
      </c>
      <c r="H69" s="36">
        <f>IF(H235=0,"",(H235*101.325)/(8.31451*293.15))</f>
        <v>40.005581857246789</v>
      </c>
      <c r="I69" s="36">
        <f>IF(I235=0,"",(I235*101.325)/(8.31451*293.15))</f>
        <v>38.914310193501784</v>
      </c>
      <c r="J69" s="36">
        <f>IF(J235=0,"",(J235*101.325)/(8.31451*293.15))</f>
        <v>41.455086238794486</v>
      </c>
      <c r="K69" s="36">
        <f t="shared" si="36"/>
        <v>39.875710894068732</v>
      </c>
      <c r="L69" s="36">
        <f>IF(L235=0,"",(L235*101.325)/(8.31451*293.15))</f>
        <v>41.414930853114448</v>
      </c>
      <c r="M69" s="36">
        <f>IF(M235=0,"",(M235*101.325)/(8.31451*293.15))</f>
        <v>40.980171069589886</v>
      </c>
      <c r="N69" s="36">
        <f t="shared" si="36"/>
        <v>36.998448357435301</v>
      </c>
      <c r="O69" s="36">
        <f t="shared" si="36"/>
        <v>36.969759240229138</v>
      </c>
      <c r="P69" s="36">
        <f t="shared" si="36"/>
        <v>36.993842419779035</v>
      </c>
      <c r="Q69" s="36">
        <f t="shared" si="36"/>
        <v>40.609500611548818</v>
      </c>
      <c r="R69" s="36">
        <f>IF(R235=0,"",(R235*101.325)/(8.31451*293.15))</f>
        <v>39.840393287288926</v>
      </c>
      <c r="S69" s="36">
        <f>IF(S235=0,"",(S235*101.325)/(8.31451*293.15))</f>
        <v>37.882874397753945</v>
      </c>
      <c r="T69" s="36">
        <f t="shared" si="36"/>
        <v>38.100942309689877</v>
      </c>
      <c r="U69" s="36">
        <f t="shared" si="36"/>
        <v>38.880973068827835</v>
      </c>
      <c r="V69" s="36">
        <f>IF(V235=0,"",(V235*101.325)/(8.31451*293.15))</f>
        <v>40.11410787843986</v>
      </c>
      <c r="W69" s="36">
        <f t="shared" si="36"/>
        <v>39.888763053096056</v>
      </c>
      <c r="X69" s="36">
        <f t="shared" si="36"/>
        <v>37.999320850815877</v>
      </c>
      <c r="Y69" s="36">
        <f t="shared" si="36"/>
        <v>40.165984903001139</v>
      </c>
      <c r="Z69" s="36">
        <f t="shared" si="36"/>
        <v>40.254962928526659</v>
      </c>
      <c r="AA69" s="36">
        <f>IF(AA235=0,"",(AA235*101.325)/(8.31451*293.15))</f>
        <v>41.095036870039337</v>
      </c>
      <c r="AB69" s="36">
        <f t="shared" si="36"/>
        <v>40.024199286974522</v>
      </c>
      <c r="AC69" s="36">
        <f t="shared" si="36"/>
        <v>39.338506962371575</v>
      </c>
      <c r="AD69" s="36">
        <f t="shared" si="36"/>
        <v>40.716180591120725</v>
      </c>
      <c r="AE69" s="36">
        <f t="shared" si="36"/>
        <v>41.686257151041829</v>
      </c>
      <c r="AF69" s="36">
        <f t="shared" si="36"/>
        <v>39.371923820146819</v>
      </c>
      <c r="AG69" s="36">
        <f t="shared" si="36"/>
        <v>40.566201463588968</v>
      </c>
      <c r="AH69" s="36">
        <f t="shared" si="36"/>
        <v>38.644800920665503</v>
      </c>
      <c r="AI69" s="36">
        <f t="shared" si="36"/>
        <v>40.161305426316616</v>
      </c>
      <c r="AJ69" s="36">
        <f>IF(AJ235=0,"",(AJ235*101.325)/(8.31451*293.15))</f>
        <v>38.824914462970099</v>
      </c>
      <c r="AK69" s="36">
        <f t="shared" si="36"/>
        <v>37.645430801779696</v>
      </c>
      <c r="AL69" s="36">
        <f t="shared" si="36"/>
        <v>41.082767824756694</v>
      </c>
      <c r="AM69" s="36">
        <f t="shared" si="36"/>
        <v>36.989209627282605</v>
      </c>
      <c r="AN69" s="36" t="str">
        <f>IF(AN235=0,"",(AN235*101.325)/(8.31451*293.15))</f>
        <v/>
      </c>
      <c r="AO69" s="36">
        <f>IF(AO235=0,"",(AO235*101.325)/(8.31451*293.15))</f>
        <v>37.758059045306595</v>
      </c>
      <c r="AP69" s="36">
        <f>IF(AP235=0,"",(AP235*101.325)/(8.31451*293.15))</f>
        <v>38.677972800773404</v>
      </c>
      <c r="AQ69" s="36" t="str">
        <f>IF(AQ235=0,"",(AQ235*101.325)/(8.31451*293.15))</f>
        <v/>
      </c>
      <c r="AR69" s="36">
        <f>IF(AR235=0,"",(AR235*101.325)/(8.31451*293.15))</f>
        <v>38.264912019100237</v>
      </c>
      <c r="AS69" s="36">
        <f t="shared" si="36"/>
        <v>39.178545275499651</v>
      </c>
    </row>
    <row r="70" spans="1:45" x14ac:dyDescent="0.25">
      <c r="A70" s="50" t="s">
        <v>93</v>
      </c>
      <c r="B70" s="50" t="s">
        <v>101</v>
      </c>
      <c r="C70" s="36">
        <f>IF(C$18="","",C69/SQRT(C$18/28.9626))</f>
        <v>51.294242564411924</v>
      </c>
      <c r="D70" s="36">
        <f t="shared" ref="D70:AS70" si="37">IF(D$18="","",D69/SQRT(D$18/28.9626))</f>
        <v>51.261323166767227</v>
      </c>
      <c r="E70" s="36">
        <f>IF(E$18="","",E69/SQRT(E$18/28.9626))</f>
        <v>50.689029940475308</v>
      </c>
      <c r="F70" s="36">
        <f>IF(F$18="","",F69/SQRT(F$18/28.9626))</f>
        <v>50.763163257349959</v>
      </c>
      <c r="G70" s="36">
        <f t="shared" si="37"/>
        <v>51.007952840302501</v>
      </c>
      <c r="H70" s="36">
        <f>IF(H$18="","",H69/SQRT(H$18/28.9626))</f>
        <v>51.330416247236037</v>
      </c>
      <c r="I70" s="36">
        <f>IF(I$18="","",I69/SQRT(I$18/28.9626))</f>
        <v>50.69834327405416</v>
      </c>
      <c r="J70" s="36">
        <f>IF(J$18="","",J69/SQRT(J$18/28.9626))</f>
        <v>52.1503770253588</v>
      </c>
      <c r="K70" s="36">
        <f t="shared" si="37"/>
        <v>51.209964096320761</v>
      </c>
      <c r="L70" s="36">
        <f>IF(L$18="","",L69/SQRT(L$18/28.9626))</f>
        <v>52.10990331439038</v>
      </c>
      <c r="M70" s="36">
        <f>IF(M$18="","",M69/SQRT(M$18/28.9626))</f>
        <v>51.870007535167069</v>
      </c>
      <c r="N70" s="36">
        <f t="shared" si="37"/>
        <v>49.671128766331918</v>
      </c>
      <c r="O70" s="36">
        <f t="shared" si="37"/>
        <v>49.636049415338704</v>
      </c>
      <c r="P70" s="36">
        <f t="shared" si="37"/>
        <v>49.673299942719879</v>
      </c>
      <c r="Q70" s="36">
        <f t="shared" si="37"/>
        <v>51.6903541932721</v>
      </c>
      <c r="R70" s="36">
        <f>IF(R$18="","",R69/SQRT(R$18/28.9626))</f>
        <v>51.171936879874643</v>
      </c>
      <c r="S70" s="36">
        <f>IF(S$18="","",S69/SQRT(S$18/28.9626))</f>
        <v>50.212937191175122</v>
      </c>
      <c r="T70" s="36">
        <f t="shared" si="37"/>
        <v>50.340986308798676</v>
      </c>
      <c r="U70" s="36">
        <f t="shared" si="37"/>
        <v>50.778342569631889</v>
      </c>
      <c r="V70" s="36">
        <f>IF(V$18="","",V69/SQRT(V$18/28.9626))</f>
        <v>51.412855571832097</v>
      </c>
      <c r="W70" s="36">
        <f t="shared" si="37"/>
        <v>51.312406035026754</v>
      </c>
      <c r="X70" s="36">
        <f t="shared" si="37"/>
        <v>50.146122368594753</v>
      </c>
      <c r="Y70" s="36">
        <f t="shared" si="37"/>
        <v>51.342273934174329</v>
      </c>
      <c r="Z70" s="36">
        <f t="shared" si="37"/>
        <v>51.418194549268925</v>
      </c>
      <c r="AA70" s="36">
        <f>IF(AA$18="","",AA69/SQRT(AA$18/28.9626))</f>
        <v>51.926538459199826</v>
      </c>
      <c r="AB70" s="36">
        <f t="shared" si="37"/>
        <v>51.38613648718141</v>
      </c>
      <c r="AC70" s="36">
        <f t="shared" si="37"/>
        <v>50.681779930765849</v>
      </c>
      <c r="AD70" s="36">
        <f t="shared" si="37"/>
        <v>51.656345026392891</v>
      </c>
      <c r="AE70" s="36">
        <f t="shared" si="37"/>
        <v>52.133807272111625</v>
      </c>
      <c r="AF70" s="36">
        <f t="shared" si="37"/>
        <v>50.739060212607676</v>
      </c>
      <c r="AG70" s="36">
        <f t="shared" si="37"/>
        <v>51.454244296131705</v>
      </c>
      <c r="AH70" s="36">
        <f t="shared" si="37"/>
        <v>50.498475735286256</v>
      </c>
      <c r="AI70" s="36">
        <f t="shared" si="37"/>
        <v>51.440318458620901</v>
      </c>
      <c r="AJ70" s="36">
        <f>IF(AJ$18="","",AJ69/SQRT(AJ$18/28.9626))</f>
        <v>50.621171711239668</v>
      </c>
      <c r="AK70" s="36">
        <f t="shared" si="37"/>
        <v>50.089739100151391</v>
      </c>
      <c r="AL70" s="36">
        <f t="shared" si="37"/>
        <v>51.80919235851399</v>
      </c>
      <c r="AM70" s="36">
        <f t="shared" si="37"/>
        <v>49.646996449185757</v>
      </c>
      <c r="AN70" s="36" t="str">
        <f>IF(AN$18="","",AN69/SQRT(AN$18/28.9626))</f>
        <v/>
      </c>
      <c r="AO70" s="36">
        <f>IF(AO$18="","",AO69/SQRT(AO$18/28.9626))</f>
        <v>50.125577935820566</v>
      </c>
      <c r="AP70" s="36">
        <f>IF(AP$18="","",AP69/SQRT(AP$18/28.9626))</f>
        <v>50.614949244769228</v>
      </c>
      <c r="AQ70" s="36" t="str">
        <f>IF(AQ$18="","",AQ69/SQRT(AQ$18/28.9626))</f>
        <v/>
      </c>
      <c r="AR70" s="36">
        <f>IF(AR$18="","",AR69/SQRT(AR$18/28.9626))</f>
        <v>50.412362233852946</v>
      </c>
      <c r="AS70" s="36">
        <f t="shared" si="37"/>
        <v>50.930439577860341</v>
      </c>
    </row>
    <row r="71" spans="1:45" ht="5.15" customHeight="1" x14ac:dyDescent="0.25"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H71" s="43"/>
      <c r="AI71" s="43"/>
      <c r="AJ71" s="43"/>
      <c r="AK71" s="43"/>
      <c r="AL71" s="43"/>
      <c r="AM71" s="43"/>
      <c r="AN71" s="43"/>
      <c r="AO71" s="43"/>
      <c r="AP71" s="43"/>
      <c r="AQ71" s="43"/>
      <c r="AR71" s="43"/>
      <c r="AS71" s="43"/>
    </row>
    <row r="72" spans="1:45" x14ac:dyDescent="0.25">
      <c r="A72" s="50" t="s">
        <v>94</v>
      </c>
      <c r="B72" s="50" t="s">
        <v>101</v>
      </c>
      <c r="C72" s="36">
        <f>IF(C249=0,"",(C249*101.325)/(8.31451*293.15))</f>
        <v>36.278461404236474</v>
      </c>
      <c r="D72" s="36">
        <f t="shared" ref="D72:AS72" si="38">IF(D249=0,"",(D249*101.325)/(8.31451*293.15))</f>
        <v>36.523655282140247</v>
      </c>
      <c r="E72" s="36">
        <f>IF(E249=0,"",(E249*101.325)/(8.31451*293.15))</f>
        <v>35.456660809615506</v>
      </c>
      <c r="F72" s="36">
        <f>IF(F249=0,"",(F249*101.325)/(8.31451*293.15))</f>
        <v>35.330768104168527</v>
      </c>
      <c r="G72" s="36">
        <f t="shared" si="38"/>
        <v>35.527664757590401</v>
      </c>
      <c r="H72" s="36">
        <f>IF(H249=0,"",(H249*101.325)/(8.31451*293.15))</f>
        <v>36.150661589428054</v>
      </c>
      <c r="I72" s="36">
        <f>IF(I249=0,"",(I249*101.325)/(8.31451*293.15))</f>
        <v>35.13258254313152</v>
      </c>
      <c r="J72" s="36">
        <f>IF(J249=0,"",(J249*101.325)/(8.31451*293.15))</f>
        <v>37.503549323119302</v>
      </c>
      <c r="K72" s="36">
        <f t="shared" si="38"/>
        <v>36.030671378309087</v>
      </c>
      <c r="L72" s="36">
        <f>IF(L249=0,"",(L249*101.325)/(8.31451*293.15))</f>
        <v>37.467959384980475</v>
      </c>
      <c r="M72" s="36">
        <f>IF(M249=0,"",(M249*101.325)/(8.31451*293.15))</f>
        <v>37.061384213491387</v>
      </c>
      <c r="N72" s="36">
        <f t="shared" si="38"/>
        <v>33.342250165463447</v>
      </c>
      <c r="O72" s="36">
        <f t="shared" si="38"/>
        <v>33.315939780160043</v>
      </c>
      <c r="P72" s="36">
        <f t="shared" si="38"/>
        <v>33.33782722317315</v>
      </c>
      <c r="Q72" s="36">
        <f t="shared" si="38"/>
        <v>36.713410876051547</v>
      </c>
      <c r="R72" s="36">
        <f>IF(R249=0,"",(R249*101.325)/(8.31451*293.15))</f>
        <v>35.998100531141013</v>
      </c>
      <c r="S72" s="36">
        <f>IF(S249=0,"",(S249*101.325)/(8.31451*293.15))</f>
        <v>34.167204208397905</v>
      </c>
      <c r="T72" s="36">
        <f t="shared" si="38"/>
        <v>34.370451532667694</v>
      </c>
      <c r="U72" s="36">
        <f t="shared" si="38"/>
        <v>35.099606836383906</v>
      </c>
      <c r="V72" s="36">
        <f>IF(V249=0,"",(V249*101.325)/(8.31451*293.15))</f>
        <v>36.251501056973304</v>
      </c>
      <c r="W72" s="36">
        <f t="shared" si="38"/>
        <v>36.039883960327934</v>
      </c>
      <c r="X72" s="36">
        <f t="shared" si="38"/>
        <v>34.279259396241073</v>
      </c>
      <c r="Y72" s="36">
        <f t="shared" si="38"/>
        <v>36.302099566659457</v>
      </c>
      <c r="Z72" s="36">
        <f t="shared" si="38"/>
        <v>36.384490922997095</v>
      </c>
      <c r="AA72" s="36">
        <f>IF(AA249=0,"",(AA249*101.325)/(8.31451*293.15))</f>
        <v>37.167657171793834</v>
      </c>
      <c r="AB72" s="36">
        <f t="shared" si="38"/>
        <v>36.166900204111116</v>
      </c>
      <c r="AC72" s="36">
        <f t="shared" si="38"/>
        <v>35.535733764070329</v>
      </c>
      <c r="AD72" s="36">
        <f t="shared" si="38"/>
        <v>36.815697096147083</v>
      </c>
      <c r="AE72" s="36">
        <f t="shared" si="38"/>
        <v>37.723191735165621</v>
      </c>
      <c r="AF72" s="36">
        <f t="shared" si="38"/>
        <v>35.56676540487306</v>
      </c>
      <c r="AG72" s="36">
        <f t="shared" si="38"/>
        <v>36.679257422435875</v>
      </c>
      <c r="AH72" s="36">
        <f t="shared" si="38"/>
        <v>34.883745427863403</v>
      </c>
      <c r="AI72" s="36">
        <f t="shared" si="38"/>
        <v>36.295224187154311</v>
      </c>
      <c r="AJ72" s="36">
        <f>IF(AJ249=0,"",(AJ249*101.325)/(8.31451*293.15))</f>
        <v>35.04977443791978</v>
      </c>
      <c r="AK72" s="36">
        <f t="shared" si="38"/>
        <v>33.945132555732435</v>
      </c>
      <c r="AL72" s="36">
        <f t="shared" si="38"/>
        <v>37.160684599384169</v>
      </c>
      <c r="AM72" s="36">
        <f t="shared" si="38"/>
        <v>33.334109241222713</v>
      </c>
      <c r="AN72" s="36" t="str">
        <f>IF(AN249=0,"",(AN249*101.325)/(8.31451*293.15))</f>
        <v/>
      </c>
      <c r="AO72" s="36">
        <f>IF(AO249=0,"",(AO249*101.325)/(8.31451*293.15))</f>
        <v>34.051171926810575</v>
      </c>
      <c r="AP72" s="36">
        <f>IF(AP249=0,"",(AP249*101.325)/(8.31451*293.15))</f>
        <v>34.911246239177657</v>
      </c>
      <c r="AQ72" s="36" t="str">
        <f>IF(AQ249=0,"",(AQ249*101.325)/(8.31451*293.15))</f>
        <v/>
      </c>
      <c r="AR72" s="36">
        <f>IF(AR249=0,"",(AR249*101.325)/(8.31451*293.15))</f>
        <v>34.524537330625989</v>
      </c>
      <c r="AS72" s="36">
        <f t="shared" si="38"/>
        <v>35.377601698290384</v>
      </c>
    </row>
    <row r="73" spans="1:45" x14ac:dyDescent="0.25">
      <c r="A73" s="50" t="s">
        <v>95</v>
      </c>
      <c r="B73" s="50" t="s">
        <v>101</v>
      </c>
      <c r="C73" s="36">
        <f>IF(C$18="","",C72/SQRT(C$18/28.9626))</f>
        <v>46.36157685166328</v>
      </c>
      <c r="D73" s="36">
        <f t="shared" ref="D73:AS73" si="39">IF(D$18="","",D72/SQRT(D$18/28.9626))</f>
        <v>46.347473351936706</v>
      </c>
      <c r="E73" s="36">
        <f>IF(E$18="","",E72/SQRT(E$18/28.9626))</f>
        <v>45.784487338412404</v>
      </c>
      <c r="F73" s="36">
        <f>IF(F$18="","",F72/SQRT(F$18/28.9626))</f>
        <v>45.841430887135679</v>
      </c>
      <c r="G73" s="36">
        <f t="shared" si="39"/>
        <v>46.066671622578433</v>
      </c>
      <c r="H73" s="36">
        <f>IF(H$18="","",H72/SQRT(H$18/28.9626))</f>
        <v>46.384239919814405</v>
      </c>
      <c r="I73" s="36">
        <f>IF(I$18="","",I72/SQRT(I$18/28.9626))</f>
        <v>45.771432694524734</v>
      </c>
      <c r="J73" s="36">
        <f>IF(J$18="","",J72/SQRT(J$18/28.9626))</f>
        <v>47.179355163408452</v>
      </c>
      <c r="K73" s="36">
        <f t="shared" si="39"/>
        <v>46.272012367408152</v>
      </c>
      <c r="L73" s="36">
        <f>IF(L$18="","",L72/SQRT(L$18/28.9626))</f>
        <v>47.143667771982081</v>
      </c>
      <c r="M73" s="36">
        <f>IF(M$18="","",M72/SQRT(M$18/28.9626))</f>
        <v>46.909864655105217</v>
      </c>
      <c r="N73" s="36">
        <f t="shared" si="39"/>
        <v>44.762612348719294</v>
      </c>
      <c r="O73" s="36">
        <f t="shared" si="39"/>
        <v>44.730386868384244</v>
      </c>
      <c r="P73" s="36">
        <f t="shared" si="39"/>
        <v>44.764203520796187</v>
      </c>
      <c r="Q73" s="36">
        <f t="shared" si="39"/>
        <v>46.731163477704598</v>
      </c>
      <c r="R73" s="36">
        <f>IF(R$18="","",R72/SQRT(R$18/28.9626))</f>
        <v>46.23680581894881</v>
      </c>
      <c r="S73" s="36">
        <f>IF(S$18="","",S72/SQRT(S$18/28.9626))</f>
        <v>45.287896079397221</v>
      </c>
      <c r="T73" s="36">
        <f t="shared" si="39"/>
        <v>45.412063984391686</v>
      </c>
      <c r="U73" s="36">
        <f t="shared" si="39"/>
        <v>45.839898524201914</v>
      </c>
      <c r="V73" s="36">
        <f>IF(V$18="","",V72/SQRT(V$18/28.9626))</f>
        <v>46.462286878029275</v>
      </c>
      <c r="W73" s="36">
        <f t="shared" si="39"/>
        <v>46.361256095256579</v>
      </c>
      <c r="X73" s="36">
        <f t="shared" si="39"/>
        <v>45.236912078964131</v>
      </c>
      <c r="Y73" s="36">
        <f t="shared" si="39"/>
        <v>46.403252524198372</v>
      </c>
      <c r="Z73" s="36">
        <f t="shared" si="39"/>
        <v>46.474389659144734</v>
      </c>
      <c r="AA73" s="36">
        <f>IF(AA$18="","",AA72/SQRT(AA$18/28.9626))</f>
        <v>46.964011388357697</v>
      </c>
      <c r="AB73" s="36">
        <f t="shared" si="39"/>
        <v>46.433840109614529</v>
      </c>
      <c r="AC73" s="36">
        <f t="shared" si="39"/>
        <v>45.782475680422245</v>
      </c>
      <c r="AD73" s="36">
        <f t="shared" si="39"/>
        <v>46.707827796610083</v>
      </c>
      <c r="AE73" s="36">
        <f t="shared" si="39"/>
        <v>47.177505058423982</v>
      </c>
      <c r="AF73" s="36">
        <f t="shared" si="39"/>
        <v>45.835307913557173</v>
      </c>
      <c r="AG73" s="36">
        <f t="shared" si="39"/>
        <v>46.524037349385694</v>
      </c>
      <c r="AH73" s="36">
        <f t="shared" si="39"/>
        <v>45.58377660325457</v>
      </c>
      <c r="AI73" s="36">
        <f t="shared" si="39"/>
        <v>46.488476181126281</v>
      </c>
      <c r="AJ73" s="36">
        <f>IF(AJ$18="","",AJ72/SQRT(AJ$18/28.9626))</f>
        <v>45.699022774522433</v>
      </c>
      <c r="AK73" s="36">
        <f t="shared" si="39"/>
        <v>45.166247197158143</v>
      </c>
      <c r="AL73" s="36">
        <f t="shared" si="39"/>
        <v>46.863080520669982</v>
      </c>
      <c r="AM73" s="36">
        <f t="shared" si="39"/>
        <v>44.741112876202145</v>
      </c>
      <c r="AN73" s="36" t="str">
        <f>IF(AN$18="","",AN72/SQRT(AN$18/28.9626))</f>
        <v/>
      </c>
      <c r="AO73" s="36">
        <f>IF(AO$18="","",AO72/SQRT(AO$18/28.9626))</f>
        <v>45.204513033238975</v>
      </c>
      <c r="AP73" s="36">
        <f>IF(AP$18="","",AP72/SQRT(AP$18/28.9626))</f>
        <v>45.685717955525433</v>
      </c>
      <c r="AQ73" s="36" t="str">
        <f>IF(AQ$18="","",AQ72/SQRT(AQ$18/28.9626))</f>
        <v/>
      </c>
      <c r="AR73" s="36">
        <f>IF(AR$18="","",AR72/SQRT(AR$18/28.9626))</f>
        <v>45.484580782491527</v>
      </c>
      <c r="AS73" s="36">
        <f t="shared" si="39"/>
        <v>45.989374874292324</v>
      </c>
    </row>
    <row r="77" spans="1:45" x14ac:dyDescent="0.25">
      <c r="A77" s="46" t="s">
        <v>102</v>
      </c>
      <c r="B77" s="46" t="s">
        <v>98</v>
      </c>
      <c r="C77" s="41">
        <f>IF(C179=0,"",(C51*(1000000/1055.056)*(1/35.531467)))</f>
        <v>1090.3989779930337</v>
      </c>
      <c r="D77" s="41">
        <f t="shared" ref="D77:AS77" si="40">IF(D179=0,"",(D51*(1000000/1055.056)*(1/35.531467)))</f>
        <v>1097.3947232918883</v>
      </c>
      <c r="E77" s="41">
        <f>IF(E179=0,"",(E51*(1000000/1055.056)*(1/35.531467)))</f>
        <v>1066.4042704260169</v>
      </c>
      <c r="F77" s="41">
        <f>IF(F179=0,"",(F51*(1000000/1055.056)*(1/35.531467)))</f>
        <v>1062.8521409302425</v>
      </c>
      <c r="G77" s="41">
        <f t="shared" si="40"/>
        <v>1068.6775141690732</v>
      </c>
      <c r="H77" s="41">
        <f>IF(H179=0,"",(H51*(1000000/1055.056)*(1/35.531467)))</f>
        <v>1086.7935359251387</v>
      </c>
      <c r="I77" s="41">
        <f>IF(I179=0,"",(I51*(1000000/1055.056)*(1/35.531467)))</f>
        <v>1057.1557643504896</v>
      </c>
      <c r="J77" s="41">
        <f>IF(J179=0,"",(J51*(1000000/1055.056)*(1/35.531467)))</f>
        <v>1126.1608473990859</v>
      </c>
      <c r="K77" s="41">
        <f t="shared" si="40"/>
        <v>1083.2660117111898</v>
      </c>
      <c r="L77" s="41">
        <f>IF(L179=0,"",(L51*(1000000/1055.056)*(1/35.531467)))</f>
        <v>1125.071531748443</v>
      </c>
      <c r="M77" s="41">
        <f>IF(M179=0,"",(M51*(1000000/1055.056)*(1/35.531467)))</f>
        <v>1113.2632460335201</v>
      </c>
      <c r="N77" s="41">
        <f t="shared" si="40"/>
        <v>1005.1232512746388</v>
      </c>
      <c r="O77" s="41">
        <f t="shared" si="40"/>
        <v>1004.3439689439876</v>
      </c>
      <c r="P77" s="41">
        <f t="shared" si="40"/>
        <v>1004.9981873992585</v>
      </c>
      <c r="Q77" s="41">
        <f t="shared" si="40"/>
        <v>1103.1950828531108</v>
      </c>
      <c r="R77" s="41">
        <f>IF(R179=0,"",(R51*(1000000/1055.056)*(1/35.531467)))</f>
        <v>1082.3066764796317</v>
      </c>
      <c r="S77" s="41">
        <f>IF(S179=0,"",(S51*(1000000/1055.056)*(1/35.531467)))</f>
        <v>1029.1437893108291</v>
      </c>
      <c r="T77" s="41">
        <f t="shared" si="40"/>
        <v>1035.0661193186029</v>
      </c>
      <c r="U77" s="41">
        <f t="shared" si="40"/>
        <v>1056.2517159800564</v>
      </c>
      <c r="V77" s="41">
        <f>IF(V179=0,"",(V51*(1000000/1055.056)*(1/35.531467)))</f>
        <v>1089.7412667384717</v>
      </c>
      <c r="W77" s="41">
        <f t="shared" si="40"/>
        <v>1083.6207045766348</v>
      </c>
      <c r="X77" s="41">
        <f t="shared" si="40"/>
        <v>1032.3054044414555</v>
      </c>
      <c r="Y77" s="41">
        <f t="shared" si="40"/>
        <v>1091.1489912071477</v>
      </c>
      <c r="Z77" s="41">
        <f t="shared" si="40"/>
        <v>1093.5658075029626</v>
      </c>
      <c r="AA77" s="41">
        <f>IF(AA179=0,"",(AA51*(1000000/1055.056)*(1/35.531467)))</f>
        <v>1116.381792331548</v>
      </c>
      <c r="AB77" s="41">
        <f t="shared" si="40"/>
        <v>1087.2995811701871</v>
      </c>
      <c r="AC77" s="41">
        <f t="shared" si="40"/>
        <v>1068.6750863576797</v>
      </c>
      <c r="AD77" s="41">
        <f t="shared" si="40"/>
        <v>1106.0919740323227</v>
      </c>
      <c r="AE77" s="41">
        <f t="shared" si="40"/>
        <v>1132.4380801110224</v>
      </c>
      <c r="AF77" s="41">
        <f t="shared" si="40"/>
        <v>1069.5837579488796</v>
      </c>
      <c r="AG77" s="41">
        <f t="shared" si="40"/>
        <v>1102.0181674352425</v>
      </c>
      <c r="AH77" s="41">
        <f t="shared" si="40"/>
        <v>1049.8363913416385</v>
      </c>
      <c r="AI77" s="41">
        <f t="shared" si="40"/>
        <v>1091.0227991666216</v>
      </c>
      <c r="AJ77" s="41">
        <f>IF(AJ179=0,"",(AJ51*(1000000/1055.056)*(1/35.531467)))</f>
        <v>1054.7276528652365</v>
      </c>
      <c r="AK77" s="41">
        <f t="shared" si="40"/>
        <v>1022.6950551897901</v>
      </c>
      <c r="AL77" s="41">
        <f>IF(AL179=0,"",(AL51*(1000000/1055.056)*(1/35.531467)))</f>
        <v>1116.0491189934144</v>
      </c>
      <c r="AM77" s="41">
        <f t="shared" si="40"/>
        <v>1004.8722255044224</v>
      </c>
      <c r="AN77" s="41" t="str">
        <f>IF(AN179=0,"",(AN51*(1000000/1055.056)*(1/35.531467)))</f>
        <v/>
      </c>
      <c r="AO77" s="41">
        <f>IF(AO179=0,"",(AO51*(1000000/1055.056)*(1/35.531467)))</f>
        <v>1025.7538922193216</v>
      </c>
      <c r="AP77" s="41">
        <f>IF(AP179=0,"",(AP51*(1000000/1055.056)*(1/35.531467)))</f>
        <v>1050.7380051316875</v>
      </c>
      <c r="AQ77" s="41" t="str">
        <f>IF(AQ179=0,"",(AQ51*(1000000/1055.056)*(1/35.531467)))</f>
        <v/>
      </c>
      <c r="AR77" s="41">
        <f>IF(AR179=0,"",(AR51*(1000000/1055.056)*(1/35.531467)))</f>
        <v>1039.5196347150666</v>
      </c>
      <c r="AS77" s="41">
        <f t="shared" si="40"/>
        <v>1064.3332051587029</v>
      </c>
    </row>
    <row r="78" spans="1:45" x14ac:dyDescent="0.25">
      <c r="A78" s="46" t="s">
        <v>95</v>
      </c>
      <c r="B78" s="46" t="s">
        <v>98</v>
      </c>
      <c r="C78" s="41">
        <f>IF(C$18="","",C77/SQRT(C$18/28.9626))</f>
        <v>1393.4608597071253</v>
      </c>
      <c r="D78" s="41">
        <f t="shared" ref="D78:AS78" si="41">IF(D$18="","",D77/SQRT(D$18/28.9626))</f>
        <v>1392.5624996027595</v>
      </c>
      <c r="E78" s="41">
        <f>IF(E$18="","",E77/SQRT(E$18/28.9626))</f>
        <v>1377.026818151699</v>
      </c>
      <c r="F78" s="41">
        <f>IF(F$18="","",F77/SQRT(F$18/28.9626))</f>
        <v>1379.04341105874</v>
      </c>
      <c r="G78" s="41">
        <f t="shared" si="41"/>
        <v>1385.6924301545077</v>
      </c>
      <c r="H78" s="41">
        <f>IF(H$18="","",H77/SQRT(H$18/28.9626))</f>
        <v>1394.4445245892005</v>
      </c>
      <c r="I78" s="41">
        <f>IF(I$18="","",I77/SQRT(I$18/28.9626))</f>
        <v>1377.2837182177809</v>
      </c>
      <c r="J78" s="41">
        <f>IF(J$18="","",J77/SQRT(J$18/28.9626))</f>
        <v>1416.7070463864929</v>
      </c>
      <c r="K78" s="41">
        <f t="shared" si="41"/>
        <v>1391.1730304661737</v>
      </c>
      <c r="L78" s="41">
        <f>IF(L$18="","",L77/SQRT(L$18/28.9626))</f>
        <v>1415.6094802890539</v>
      </c>
      <c r="M78" s="41">
        <f>IF(M$18="","",M77/SQRT(M$18/28.9626))</f>
        <v>1409.0954589312096</v>
      </c>
      <c r="N78" s="41">
        <f t="shared" si="41"/>
        <v>1349.3973033078184</v>
      </c>
      <c r="O78" s="41">
        <f t="shared" si="41"/>
        <v>1348.4444556039848</v>
      </c>
      <c r="P78" s="41">
        <f t="shared" si="41"/>
        <v>1349.4563727146717</v>
      </c>
      <c r="Q78" s="41">
        <f t="shared" si="41"/>
        <v>1404.216838872833</v>
      </c>
      <c r="R78" s="41">
        <f>IF(R$18="","",R77/SQRT(R$18/28.9626))</f>
        <v>1390.1401156888878</v>
      </c>
      <c r="S78" s="41">
        <f>IF(S$18="","",S77/SQRT(S$18/28.9626))</f>
        <v>1364.1080112024574</v>
      </c>
      <c r="T78" s="41">
        <f t="shared" si="41"/>
        <v>1367.5842691183898</v>
      </c>
      <c r="U78" s="41">
        <f t="shared" si="41"/>
        <v>1379.4590834661376</v>
      </c>
      <c r="V78" s="41">
        <f>IF(V$18="","",V77/SQRT(V$18/28.9626))</f>
        <v>1396.6834443201737</v>
      </c>
      <c r="W78" s="41">
        <f t="shared" si="41"/>
        <v>1393.9561251168527</v>
      </c>
      <c r="X78" s="41">
        <f t="shared" si="41"/>
        <v>1362.2904824040156</v>
      </c>
      <c r="Y78" s="41">
        <f t="shared" si="41"/>
        <v>1394.7640159912892</v>
      </c>
      <c r="Z78" s="41">
        <f t="shared" si="41"/>
        <v>1396.8260147811222</v>
      </c>
      <c r="AA78" s="41">
        <f>IF(AA$18="","",AA77/SQRT(AA$18/28.9626))</f>
        <v>1410.628788531832</v>
      </c>
      <c r="AB78" s="41">
        <f t="shared" si="41"/>
        <v>1395.9585869504065</v>
      </c>
      <c r="AC78" s="41">
        <f t="shared" si="41"/>
        <v>1376.8279410319251</v>
      </c>
      <c r="AD78" s="41">
        <f t="shared" si="41"/>
        <v>1403.2914632959919</v>
      </c>
      <c r="AE78" s="41">
        <f t="shared" si="41"/>
        <v>1416.2535245655331</v>
      </c>
      <c r="AF78" s="41">
        <f t="shared" si="41"/>
        <v>1378.3851392403974</v>
      </c>
      <c r="AG78" s="41">
        <f t="shared" si="41"/>
        <v>1397.8018636249133</v>
      </c>
      <c r="AH78" s="41">
        <f t="shared" si="41"/>
        <v>1371.8569192016746</v>
      </c>
      <c r="AI78" s="41">
        <f t="shared" si="41"/>
        <v>1397.4286851236518</v>
      </c>
      <c r="AJ78" s="41">
        <f>IF(AJ$18="","",AJ77/SQRT(AJ$18/28.9626))</f>
        <v>1375.1878236642863</v>
      </c>
      <c r="AK78" s="41">
        <f t="shared" si="41"/>
        <v>1360.7635084109536</v>
      </c>
      <c r="AL78" s="41">
        <f>IF(AL$18="","",AL77/SQRT(AL$18/28.9626))</f>
        <v>1407.4417705770124</v>
      </c>
      <c r="AM78" s="41">
        <f t="shared" si="41"/>
        <v>1348.7416550448879</v>
      </c>
      <c r="AN78" s="41" t="str">
        <f>IF(AN$18="","",AN77/SQRT(AN$18/28.9626))</f>
        <v/>
      </c>
      <c r="AO78" s="41">
        <f>IF(AO$18="","",AO77/SQRT(AO$18/28.9626))</f>
        <v>1361.7359569705443</v>
      </c>
      <c r="AP78" s="41">
        <f>IF(AP$18="","",AP77/SQRT(AP$18/28.9626))</f>
        <v>1375.0216712036931</v>
      </c>
      <c r="AQ78" s="41" t="str">
        <f>IF(AQ$18="","",AQ77/SQRT(AQ$18/28.9626))</f>
        <v/>
      </c>
      <c r="AR78" s="41">
        <f>IF(AR$18="","",AR77/SQRT(AR$18/28.9626))</f>
        <v>1369.5220401473871</v>
      </c>
      <c r="AS78" s="41">
        <f t="shared" si="41"/>
        <v>1383.5878186611521</v>
      </c>
    </row>
    <row r="79" spans="1:45" ht="5.15" customHeight="1" x14ac:dyDescent="0.25"/>
    <row r="80" spans="1:45" x14ac:dyDescent="0.25">
      <c r="A80" s="45" t="s">
        <v>102</v>
      </c>
      <c r="B80" s="45" t="s">
        <v>97</v>
      </c>
      <c r="C80" s="41">
        <f>IF(C179=0,"",(C69*(1000000/1055.056)*(1/35.531467)))</f>
        <v>1070.7069756329279</v>
      </c>
      <c r="D80" s="41">
        <f t="shared" ref="D80:AS80" si="42">IF(D179=0,"",(D69*(1000000/1055.056)*(1/35.531467)))</f>
        <v>1077.5795316656763</v>
      </c>
      <c r="E80" s="41">
        <f>IF(E179=0,"",(E69*(1000000/1055.056)*(1/35.531467)))</f>
        <v>1047.1401378214625</v>
      </c>
      <c r="F80" s="41">
        <f>IF(F179=0,"",(F69*(1000000/1055.056)*(1/35.531467)))</f>
        <v>1043.6501518903622</v>
      </c>
      <c r="G80" s="41">
        <f t="shared" si="42"/>
        <v>1049.3710303640619</v>
      </c>
      <c r="H80" s="41">
        <f>IF(H179=0,"",(H69*(1000000/1055.056)*(1/35.531467)))</f>
        <v>1067.1659038356092</v>
      </c>
      <c r="I80" s="41">
        <f>IF(I179=0,"",(I69*(1000000/1055.056)*(1/35.531467)))</f>
        <v>1038.055768266873</v>
      </c>
      <c r="J80" s="41">
        <f>IF(J179=0,"",(J69*(1000000/1055.056)*(1/35.531467)))</f>
        <v>1105.8320494491825</v>
      </c>
      <c r="K80" s="41">
        <f t="shared" si="42"/>
        <v>1063.7015406800761</v>
      </c>
      <c r="L80" s="41">
        <f>IF(L179=0,"",(L69*(1000000/1055.056)*(1/35.531467)))</f>
        <v>1104.7608874646869</v>
      </c>
      <c r="M80" s="41">
        <f>IF(M179=0,"",(M69*(1000000/1055.056)*(1/35.531467)))</f>
        <v>1093.1634854073457</v>
      </c>
      <c r="N80" s="41">
        <f t="shared" si="42"/>
        <v>986.94933928889589</v>
      </c>
      <c r="O80" s="41">
        <f t="shared" si="42"/>
        <v>986.18404489065881</v>
      </c>
      <c r="P80" s="41">
        <f t="shared" si="42"/>
        <v>986.82647394376738</v>
      </c>
      <c r="Q80" s="41">
        <f t="shared" si="42"/>
        <v>1083.2756933539251</v>
      </c>
      <c r="R80" s="41">
        <f>IF(R179=0,"",(R69*(1000000/1055.056)*(1/35.531467)))</f>
        <v>1062.7594285044559</v>
      </c>
      <c r="S80" s="41">
        <f>IF(S179=0,"",(S69*(1000000/1055.056)*(1/35.531467)))</f>
        <v>1010.5417799153137</v>
      </c>
      <c r="T80" s="41">
        <f t="shared" si="42"/>
        <v>1016.3588341746183</v>
      </c>
      <c r="U80" s="41">
        <f t="shared" si="42"/>
        <v>1037.1664862933999</v>
      </c>
      <c r="V80" s="41">
        <f>IF(V179=0,"",(V69*(1000000/1055.056)*(1/35.531467)))</f>
        <v>1070.0608815892001</v>
      </c>
      <c r="W80" s="41">
        <f t="shared" si="42"/>
        <v>1064.0497125710663</v>
      </c>
      <c r="X80" s="41">
        <f t="shared" si="42"/>
        <v>1013.6480385562633</v>
      </c>
      <c r="Y80" s="41">
        <f t="shared" si="42"/>
        <v>1071.4447232741375</v>
      </c>
      <c r="Z80" s="41">
        <f t="shared" si="42"/>
        <v>1073.8182499327495</v>
      </c>
      <c r="AA80" s="41">
        <f>IF(AA179=0,"",(AA69*(1000000/1055.056)*(1/35.531467)))</f>
        <v>1096.2275794678658</v>
      </c>
      <c r="AB80" s="41">
        <f t="shared" si="42"/>
        <v>1067.662531688527</v>
      </c>
      <c r="AC80" s="41">
        <f t="shared" si="42"/>
        <v>1049.3713974175855</v>
      </c>
      <c r="AD80" s="41">
        <f t="shared" si="42"/>
        <v>1086.1214271624535</v>
      </c>
      <c r="AE80" s="41">
        <f t="shared" si="42"/>
        <v>1111.9986318123445</v>
      </c>
      <c r="AF80" s="41">
        <f t="shared" si="42"/>
        <v>1050.2628063054333</v>
      </c>
      <c r="AG80" s="41">
        <f t="shared" si="42"/>
        <v>1082.1206701740905</v>
      </c>
      <c r="AH80" s="41">
        <f t="shared" si="42"/>
        <v>1030.8664938360025</v>
      </c>
      <c r="AI80" s="41">
        <f t="shared" si="42"/>
        <v>1071.3198962441663</v>
      </c>
      <c r="AJ80" s="41">
        <f>IF(AJ179=0,"",(AJ69*(1000000/1055.056)*(1/35.531467)))</f>
        <v>1035.6710991496407</v>
      </c>
      <c r="AK80" s="41">
        <f t="shared" si="42"/>
        <v>1004.2078710469957</v>
      </c>
      <c r="AL80" s="41">
        <f>IF(AL179=0,"",(AL69*(1000000/1055.056)*(1/35.531467)))</f>
        <v>1095.9002974689445</v>
      </c>
      <c r="AM80" s="41">
        <f t="shared" si="42"/>
        <v>986.70289223436043</v>
      </c>
      <c r="AN80" s="41" t="str">
        <f>IF(AN179=0,"",(AN69*(1000000/1055.056)*(1/35.531467)))</f>
        <v/>
      </c>
      <c r="AO80" s="41">
        <f>IF(AO179=0,"",(AO69*(1000000/1055.056)*(1/35.531467)))</f>
        <v>1007.2122773253418</v>
      </c>
      <c r="AP80" s="41">
        <f>IF(AP179=0,"",(AP69*(1000000/1055.056)*(1/35.531467)))</f>
        <v>1031.7513678404248</v>
      </c>
      <c r="AQ80" s="41" t="str">
        <f>IF(AQ179=0,"",(AQ69*(1000000/1055.056)*(1/35.531467)))</f>
        <v/>
      </c>
      <c r="AR80" s="41">
        <f>IF(AR179=0,"",(AR69*(1000000/1055.056)*(1/35.531467)))</f>
        <v>1020.732795882486</v>
      </c>
      <c r="AS80" s="41">
        <f t="shared" si="42"/>
        <v>1045.1043514148832</v>
      </c>
    </row>
    <row r="81" spans="1:45" x14ac:dyDescent="0.25">
      <c r="A81" s="45" t="s">
        <v>95</v>
      </c>
      <c r="B81" s="45" t="s">
        <v>97</v>
      </c>
      <c r="C81" s="41">
        <f>IF(C$18="","",C80/SQRT(C$18/28.9626))</f>
        <v>1368.2957274097957</v>
      </c>
      <c r="D81" s="41">
        <f t="shared" ref="D81:AS81" si="43">IF(D$18="","",D80/SQRT(D$18/28.9626))</f>
        <v>1367.4175884824188</v>
      </c>
      <c r="E81" s="41">
        <f>IF(E$18="","",E80/SQRT(E$18/28.9626))</f>
        <v>1352.1514233689077</v>
      </c>
      <c r="F81" s="41">
        <f>IF(F$18="","",F80/SQRT(F$18/28.9626))</f>
        <v>1354.1289611132447</v>
      </c>
      <c r="G81" s="41">
        <f t="shared" si="43"/>
        <v>1360.6588273072484</v>
      </c>
      <c r="H81" s="41">
        <f>IF(H$18="","",H80/SQRT(H$18/28.9626))</f>
        <v>1369.2606757778462</v>
      </c>
      <c r="I81" s="41">
        <f>IF(I$18="","",I80/SQRT(I$18/28.9626))</f>
        <v>1352.3998605015522</v>
      </c>
      <c r="J81" s="41">
        <f>IF(J$18="","",J80/SQRT(J$18/28.9626))</f>
        <v>1391.1334781287169</v>
      </c>
      <c r="K81" s="41">
        <f t="shared" si="43"/>
        <v>1366.0475634436943</v>
      </c>
      <c r="L81" s="41">
        <f>IF(L$18="","",L80/SQRT(L$18/28.9626))</f>
        <v>1390.0538246818223</v>
      </c>
      <c r="M81" s="41">
        <f>IF(M$18="","",M80/SQRT(M$18/28.9626))</f>
        <v>1383.6545027828254</v>
      </c>
      <c r="N81" s="41">
        <f t="shared" si="43"/>
        <v>1324.9984768026952</v>
      </c>
      <c r="O81" s="41">
        <f t="shared" si="43"/>
        <v>1324.0627202014732</v>
      </c>
      <c r="P81" s="41">
        <f t="shared" si="43"/>
        <v>1325.0563938558885</v>
      </c>
      <c r="Q81" s="41">
        <f t="shared" si="43"/>
        <v>1378.8621735107617</v>
      </c>
      <c r="R81" s="41">
        <f>IF(R$18="","",R80/SQRT(R$18/28.9626))</f>
        <v>1365.033171278274</v>
      </c>
      <c r="S81" s="41">
        <f>IF(S$18="","",S80/SQRT(S$18/28.9626))</f>
        <v>1339.45144687739</v>
      </c>
      <c r="T81" s="41">
        <f t="shared" si="43"/>
        <v>1342.8672115282259</v>
      </c>
      <c r="U81" s="41">
        <f t="shared" si="43"/>
        <v>1354.5338757216298</v>
      </c>
      <c r="V81" s="41">
        <f>IF(V$18="","",V80/SQRT(V$18/28.9626))</f>
        <v>1371.4597798093307</v>
      </c>
      <c r="W81" s="41">
        <f t="shared" si="43"/>
        <v>1368.780245710383</v>
      </c>
      <c r="X81" s="41">
        <f t="shared" si="43"/>
        <v>1337.669133079705</v>
      </c>
      <c r="Y81" s="41">
        <f t="shared" si="43"/>
        <v>1369.576984618049</v>
      </c>
      <c r="Z81" s="41">
        <f t="shared" si="43"/>
        <v>1371.6021993022473</v>
      </c>
      <c r="AA81" s="41">
        <f>IF(AA$18="","",AA80/SQRT(AA$18/28.9626))</f>
        <v>1385.1624892147026</v>
      </c>
      <c r="AB81" s="41">
        <f t="shared" si="43"/>
        <v>1370.7470368670417</v>
      </c>
      <c r="AC81" s="41">
        <f t="shared" si="43"/>
        <v>1351.958026277671</v>
      </c>
      <c r="AD81" s="41">
        <f t="shared" si="43"/>
        <v>1377.9549645257539</v>
      </c>
      <c r="AE81" s="41">
        <f t="shared" si="43"/>
        <v>1390.6914729164578</v>
      </c>
      <c r="AF81" s="41">
        <f t="shared" si="43"/>
        <v>1353.4860021476841</v>
      </c>
      <c r="AG81" s="41">
        <f t="shared" si="43"/>
        <v>1372.5638416258394</v>
      </c>
      <c r="AH81" s="41">
        <f t="shared" si="43"/>
        <v>1347.0683089341301</v>
      </c>
      <c r="AI81" s="41">
        <f t="shared" si="43"/>
        <v>1372.1923639898707</v>
      </c>
      <c r="AJ81" s="41">
        <f>IF(AJ$18="","",AJ80/SQRT(AJ$18/28.9626))</f>
        <v>1350.3412762551038</v>
      </c>
      <c r="AK81" s="41">
        <f t="shared" si="43"/>
        <v>1336.1650854234485</v>
      </c>
      <c r="AL81" s="41">
        <f>IF(AL$18="","",AL80/SQRT(AL$18/28.9626))</f>
        <v>1382.0322320909133</v>
      </c>
      <c r="AM81" s="41">
        <f t="shared" si="43"/>
        <v>1324.3547369833163</v>
      </c>
      <c r="AN81" s="41" t="str">
        <f>IF(AN$18="","",AN80/SQRT(AN$18/28.9626))</f>
        <v/>
      </c>
      <c r="AO81" s="41">
        <f>IF(AO$18="","",AO80/SQRT(AO$18/28.9626))</f>
        <v>1337.1211016012855</v>
      </c>
      <c r="AP81" s="41">
        <f>IF(AP$18="","",AP80/SQRT(AP$18/28.9626))</f>
        <v>1350.1752893166133</v>
      </c>
      <c r="AQ81" s="41" t="str">
        <f>IF(AQ$18="","",AQ80/SQRT(AQ$18/28.9626))</f>
        <v/>
      </c>
      <c r="AR81" s="41">
        <f>IF(AR$18="","",AR80/SQRT(AR$18/28.9626))</f>
        <v>1344.7711946734887</v>
      </c>
      <c r="AS81" s="41">
        <f t="shared" si="43"/>
        <v>1358.5911280779633</v>
      </c>
    </row>
    <row r="97" spans="1:45" hidden="1" x14ac:dyDescent="0.25">
      <c r="A97" s="37" t="s">
        <v>103</v>
      </c>
    </row>
    <row r="98" spans="1:45" hidden="1" x14ac:dyDescent="0.25">
      <c r="A98" s="2" t="s">
        <v>67</v>
      </c>
      <c r="B98" s="2">
        <v>16.0425</v>
      </c>
      <c r="C98" s="2">
        <f t="shared" ref="C98:AS103" si="44">C5/100*$B98</f>
        <v>14.3837055</v>
      </c>
      <c r="D98" s="2">
        <f t="shared" si="44"/>
        <v>14.2296975</v>
      </c>
      <c r="E98" s="2">
        <f t="shared" si="44"/>
        <v>14.6468025</v>
      </c>
      <c r="F98" s="2">
        <f t="shared" si="44"/>
        <v>14.707764000000001</v>
      </c>
      <c r="G98" s="2">
        <f t="shared" si="44"/>
        <v>14.709368249999999</v>
      </c>
      <c r="H98" s="2">
        <f t="shared" si="44"/>
        <v>14.816853</v>
      </c>
      <c r="I98" s="2">
        <f t="shared" si="44"/>
        <v>15.1729965</v>
      </c>
      <c r="J98" s="2">
        <f t="shared" si="44"/>
        <v>14.213654999999999</v>
      </c>
      <c r="K98" s="2">
        <f t="shared" si="44"/>
        <v>14.848938</v>
      </c>
      <c r="L98" s="2">
        <f t="shared" si="44"/>
        <v>13.721150250000001</v>
      </c>
      <c r="M98" s="2">
        <f t="shared" si="44"/>
        <v>14.143068</v>
      </c>
      <c r="N98" s="2">
        <f t="shared" si="44"/>
        <v>16.010415000000002</v>
      </c>
      <c r="O98" s="2">
        <f t="shared" si="44"/>
        <v>16.010415000000002</v>
      </c>
      <c r="P98" s="2">
        <f t="shared" si="44"/>
        <v>16.015227750000001</v>
      </c>
      <c r="Q98" s="2">
        <f t="shared" si="44"/>
        <v>14.733432000000001</v>
      </c>
      <c r="R98" s="2">
        <f t="shared" si="44"/>
        <v>14.898669750000002</v>
      </c>
      <c r="S98" s="2">
        <f t="shared" si="44"/>
        <v>15.599727</v>
      </c>
      <c r="T98" s="2">
        <f t="shared" si="44"/>
        <v>15.588497250000001</v>
      </c>
      <c r="U98" s="2">
        <f t="shared" si="44"/>
        <v>14.982090749999999</v>
      </c>
      <c r="V98" s="2">
        <f t="shared" si="44"/>
        <v>14.7366405</v>
      </c>
      <c r="W98" s="2">
        <f t="shared" si="44"/>
        <v>15.047865</v>
      </c>
      <c r="X98" s="2">
        <f t="shared" si="44"/>
        <v>15.513097500000002</v>
      </c>
      <c r="Y98" s="2">
        <f t="shared" si="44"/>
        <v>14.832895499999999</v>
      </c>
      <c r="Z98" s="2">
        <f t="shared" si="44"/>
        <v>14.808831750000001</v>
      </c>
      <c r="AA98" s="2">
        <f t="shared" si="44"/>
        <v>14.487981750000001</v>
      </c>
      <c r="AB98" s="2">
        <f t="shared" si="44"/>
        <v>14.812040250000001</v>
      </c>
      <c r="AC98" s="2">
        <f t="shared" si="44"/>
        <v>14.755891500000001</v>
      </c>
      <c r="AD98" s="2">
        <f t="shared" si="44"/>
        <v>14.556964499999999</v>
      </c>
      <c r="AE98" s="2">
        <f t="shared" si="44"/>
        <v>14.070876750000002</v>
      </c>
      <c r="AF98" s="2">
        <f t="shared" si="44"/>
        <v>14.444667000000003</v>
      </c>
      <c r="AG98" s="2">
        <f t="shared" si="44"/>
        <v>14.44947975</v>
      </c>
      <c r="AH98" s="2">
        <f t="shared" si="44"/>
        <v>14.9676525</v>
      </c>
      <c r="AI98" s="2">
        <f t="shared" si="44"/>
        <v>14.834499749999999</v>
      </c>
      <c r="AJ98" s="2">
        <f t="shared" si="44"/>
        <v>15.2050815</v>
      </c>
      <c r="AK98" s="2">
        <f t="shared" si="44"/>
        <v>15.740901000000001</v>
      </c>
      <c r="AL98" s="2">
        <f t="shared" si="44"/>
        <v>13.923285749999998</v>
      </c>
      <c r="AM98" s="2">
        <f t="shared" si="44"/>
        <v>16.0007895</v>
      </c>
      <c r="AN98" s="2">
        <f t="shared" si="44"/>
        <v>0</v>
      </c>
      <c r="AO98" s="2">
        <f t="shared" si="44"/>
        <v>15.618978</v>
      </c>
      <c r="AP98" s="2">
        <f t="shared" si="44"/>
        <v>15.07995</v>
      </c>
      <c r="AQ98" s="2">
        <f t="shared" si="44"/>
        <v>0</v>
      </c>
      <c r="AR98" s="2">
        <f t="shared" si="44"/>
        <v>15.360693750000001</v>
      </c>
      <c r="AS98" s="2">
        <f t="shared" si="44"/>
        <v>14.937171750000001</v>
      </c>
    </row>
    <row r="99" spans="1:45" hidden="1" x14ac:dyDescent="0.25">
      <c r="A99" s="2" t="s">
        <v>68</v>
      </c>
      <c r="B99" s="2">
        <v>30.068999999999999</v>
      </c>
      <c r="C99" s="2">
        <f t="shared" si="44"/>
        <v>2.5498512</v>
      </c>
      <c r="D99" s="2">
        <f t="shared" si="44"/>
        <v>2.5077546000000002</v>
      </c>
      <c r="E99" s="2">
        <f t="shared" si="44"/>
        <v>2.1679748999999999</v>
      </c>
      <c r="F99" s="2">
        <f t="shared" si="44"/>
        <v>2.3964992999999999</v>
      </c>
      <c r="G99" s="2">
        <f t="shared" si="44"/>
        <v>2.4385958999999997</v>
      </c>
      <c r="H99" s="2">
        <f t="shared" si="44"/>
        <v>1.4673671999999998</v>
      </c>
      <c r="I99" s="2">
        <f t="shared" si="44"/>
        <v>1.1516427</v>
      </c>
      <c r="J99" s="2">
        <f t="shared" si="44"/>
        <v>2.2912577999999999</v>
      </c>
      <c r="K99" s="2">
        <f t="shared" si="44"/>
        <v>1.413243</v>
      </c>
      <c r="L99" s="2">
        <f t="shared" si="44"/>
        <v>3.8548458000000001</v>
      </c>
      <c r="M99" s="2">
        <f t="shared" si="44"/>
        <v>2.8234791000000001</v>
      </c>
      <c r="N99" s="2">
        <f t="shared" si="44"/>
        <v>1.8041399999999999E-2</v>
      </c>
      <c r="O99" s="2">
        <f t="shared" si="44"/>
        <v>9.0206999999999996E-3</v>
      </c>
      <c r="P99" s="2">
        <f t="shared" si="44"/>
        <v>1.5034499999999999E-2</v>
      </c>
      <c r="Q99" s="2">
        <f t="shared" si="44"/>
        <v>1.3470912000000002</v>
      </c>
      <c r="R99" s="2">
        <f t="shared" si="44"/>
        <v>1.1666772000000001</v>
      </c>
      <c r="S99" s="2">
        <f t="shared" si="44"/>
        <v>0.73969739999999995</v>
      </c>
      <c r="T99" s="2">
        <f t="shared" si="44"/>
        <v>0.62543519999999997</v>
      </c>
      <c r="U99" s="2">
        <f t="shared" si="44"/>
        <v>1.9604987999999997</v>
      </c>
      <c r="V99" s="2">
        <f t="shared" si="44"/>
        <v>1.7019054</v>
      </c>
      <c r="W99" s="2">
        <f t="shared" si="44"/>
        <v>0.93213899999999994</v>
      </c>
      <c r="X99" s="2">
        <f t="shared" si="44"/>
        <v>0.68858010000000003</v>
      </c>
      <c r="Y99" s="2">
        <f t="shared" si="44"/>
        <v>1.2177944999999999</v>
      </c>
      <c r="Z99" s="2">
        <f t="shared" si="44"/>
        <v>1.2147876</v>
      </c>
      <c r="AA99" s="2">
        <f t="shared" si="44"/>
        <v>1.6086914999999999</v>
      </c>
      <c r="AB99" s="2">
        <f t="shared" si="44"/>
        <v>1.5275051999999998</v>
      </c>
      <c r="AC99" s="2">
        <f t="shared" si="44"/>
        <v>1.6748433</v>
      </c>
      <c r="AD99" s="2">
        <f t="shared" si="44"/>
        <v>1.6868709000000002</v>
      </c>
      <c r="AE99" s="2">
        <f t="shared" si="44"/>
        <v>2.3513958000000001</v>
      </c>
      <c r="AF99" s="2">
        <f t="shared" si="44"/>
        <v>2.7543204000000001</v>
      </c>
      <c r="AG99" s="2">
        <f t="shared" si="44"/>
        <v>1.8793124999999999</v>
      </c>
      <c r="AH99" s="2">
        <f t="shared" si="44"/>
        <v>1.8793124999999999</v>
      </c>
      <c r="AI99" s="2">
        <f t="shared" si="44"/>
        <v>1.3440842999999998</v>
      </c>
      <c r="AJ99" s="2">
        <f t="shared" si="44"/>
        <v>1.0704563999999999</v>
      </c>
      <c r="AK99" s="2">
        <f t="shared" si="44"/>
        <v>0.46306259999999999</v>
      </c>
      <c r="AL99" s="2">
        <f t="shared" si="44"/>
        <v>3.2504588999999999</v>
      </c>
      <c r="AM99" s="2">
        <f t="shared" si="44"/>
        <v>2.4055199999999999E-2</v>
      </c>
      <c r="AN99" s="2">
        <f t="shared" si="44"/>
        <v>0</v>
      </c>
      <c r="AO99" s="2">
        <f t="shared" si="44"/>
        <v>0.73067670000000007</v>
      </c>
      <c r="AP99" s="2">
        <f t="shared" si="44"/>
        <v>1.7079191999999999</v>
      </c>
      <c r="AQ99" s="2">
        <f t="shared" si="44"/>
        <v>0</v>
      </c>
      <c r="AR99" s="2">
        <f t="shared" si="44"/>
        <v>1.1787048</v>
      </c>
      <c r="AS99" s="2">
        <f t="shared" si="44"/>
        <v>1.8041399999999999</v>
      </c>
    </row>
    <row r="100" spans="1:45" hidden="1" x14ac:dyDescent="0.25">
      <c r="A100" s="2" t="s">
        <v>69</v>
      </c>
      <c r="B100" s="2">
        <v>44.095599999999997</v>
      </c>
      <c r="C100" s="2">
        <f t="shared" si="44"/>
        <v>0.56001411999999995</v>
      </c>
      <c r="D100" s="2">
        <f t="shared" si="44"/>
        <v>0.74521563999999985</v>
      </c>
      <c r="E100" s="2">
        <f t="shared" si="44"/>
        <v>0.35276479999999999</v>
      </c>
      <c r="F100" s="2">
        <f t="shared" si="44"/>
        <v>4.4095599999999999E-3</v>
      </c>
      <c r="G100" s="2">
        <f t="shared" si="44"/>
        <v>6.1733840000000005E-2</v>
      </c>
      <c r="H100" s="2">
        <f t="shared" si="44"/>
        <v>0.80694948</v>
      </c>
      <c r="I100" s="2">
        <f t="shared" si="44"/>
        <v>0.40567951999999996</v>
      </c>
      <c r="J100" s="2">
        <f t="shared" si="44"/>
        <v>1.2346767999999999</v>
      </c>
      <c r="K100" s="2">
        <f t="shared" si="44"/>
        <v>0.73639651999999989</v>
      </c>
      <c r="L100" s="2">
        <f t="shared" si="44"/>
        <v>0.64379575999999994</v>
      </c>
      <c r="M100" s="2">
        <f t="shared" si="44"/>
        <v>0.88191199999999992</v>
      </c>
      <c r="N100" s="2">
        <f t="shared" si="44"/>
        <v>4.4095599999999999E-3</v>
      </c>
      <c r="O100" s="2">
        <f t="shared" si="44"/>
        <v>0</v>
      </c>
      <c r="P100" s="2">
        <f t="shared" si="44"/>
        <v>0</v>
      </c>
      <c r="Q100" s="2">
        <f t="shared" si="44"/>
        <v>1.0582943999999999</v>
      </c>
      <c r="R100" s="2">
        <f t="shared" si="44"/>
        <v>1.0230179199999998</v>
      </c>
      <c r="S100" s="2">
        <f t="shared" si="44"/>
        <v>7.0552959999999998E-2</v>
      </c>
      <c r="T100" s="2">
        <f t="shared" si="44"/>
        <v>0.18961107999999999</v>
      </c>
      <c r="U100" s="2">
        <f t="shared" si="44"/>
        <v>3.5276479999999999E-2</v>
      </c>
      <c r="V100" s="2">
        <f t="shared" si="44"/>
        <v>0.70552959999999998</v>
      </c>
      <c r="W100" s="2">
        <f t="shared" si="44"/>
        <v>0.86868331999999993</v>
      </c>
      <c r="X100" s="2">
        <f t="shared" si="44"/>
        <v>0.21165887999999997</v>
      </c>
      <c r="Y100" s="2">
        <f t="shared" si="44"/>
        <v>0.86868331999999993</v>
      </c>
      <c r="Z100" s="2">
        <f t="shared" si="44"/>
        <v>1.0274274800000001</v>
      </c>
      <c r="AA100" s="2">
        <f t="shared" si="44"/>
        <v>1.4154687599999998</v>
      </c>
      <c r="AB100" s="2">
        <f t="shared" si="44"/>
        <v>0.83781639999999991</v>
      </c>
      <c r="AC100" s="2">
        <f t="shared" si="44"/>
        <v>0.55560456000000003</v>
      </c>
      <c r="AD100" s="2">
        <f t="shared" si="44"/>
        <v>0.93041715999999985</v>
      </c>
      <c r="AE100" s="2">
        <f t="shared" si="44"/>
        <v>1.2655437199999999</v>
      </c>
      <c r="AF100" s="2">
        <f t="shared" si="44"/>
        <v>4.4095599999999999E-2</v>
      </c>
      <c r="AG100" s="2">
        <f t="shared" si="44"/>
        <v>0.95246496000000003</v>
      </c>
      <c r="AH100" s="2">
        <f t="shared" si="44"/>
        <v>2.2047799999999999E-2</v>
      </c>
      <c r="AI100" s="2">
        <f t="shared" si="44"/>
        <v>0.89514067999999991</v>
      </c>
      <c r="AJ100" s="2">
        <f t="shared" si="44"/>
        <v>0.38363171999999995</v>
      </c>
      <c r="AK100" s="2">
        <f t="shared" si="44"/>
        <v>0.12346768000000001</v>
      </c>
      <c r="AL100" s="2">
        <f t="shared" si="44"/>
        <v>0.75403476000000003</v>
      </c>
      <c r="AM100" s="2">
        <f t="shared" si="44"/>
        <v>4.4095599999999999E-3</v>
      </c>
      <c r="AN100" s="2">
        <f t="shared" si="44"/>
        <v>0</v>
      </c>
      <c r="AO100" s="2">
        <f t="shared" si="44"/>
        <v>5.2914719999999991E-2</v>
      </c>
      <c r="AP100" s="2">
        <f t="shared" si="44"/>
        <v>7.9372079999999998E-2</v>
      </c>
      <c r="AQ100" s="2">
        <f t="shared" si="44"/>
        <v>0</v>
      </c>
      <c r="AR100" s="2">
        <f t="shared" si="44"/>
        <v>8.8191199999999997E-2</v>
      </c>
      <c r="AS100" s="2">
        <f t="shared" si="44"/>
        <v>0.34835524000000001</v>
      </c>
    </row>
    <row r="101" spans="1:45" hidden="1" x14ac:dyDescent="0.25">
      <c r="A101" s="2" t="s">
        <v>70</v>
      </c>
      <c r="B101" s="2">
        <v>58.122199999999999</v>
      </c>
      <c r="C101" s="2">
        <f t="shared" si="44"/>
        <v>2.9061099999999999E-2</v>
      </c>
      <c r="D101" s="2">
        <f t="shared" si="44"/>
        <v>0.1162444</v>
      </c>
      <c r="E101" s="2">
        <f t="shared" si="44"/>
        <v>1.162444E-2</v>
      </c>
      <c r="F101" s="2">
        <f t="shared" si="44"/>
        <v>0</v>
      </c>
      <c r="G101" s="2">
        <f t="shared" si="44"/>
        <v>0</v>
      </c>
      <c r="H101" s="2">
        <f t="shared" si="44"/>
        <v>0.20923992</v>
      </c>
      <c r="I101" s="2">
        <f t="shared" si="44"/>
        <v>0.11043218</v>
      </c>
      <c r="J101" s="2">
        <f t="shared" si="44"/>
        <v>0.20923992</v>
      </c>
      <c r="K101" s="2">
        <f t="shared" si="44"/>
        <v>0.18599104</v>
      </c>
      <c r="L101" s="2">
        <f t="shared" si="44"/>
        <v>2.324888E-2</v>
      </c>
      <c r="M101" s="2">
        <f t="shared" si="44"/>
        <v>9.2995519999999998E-2</v>
      </c>
      <c r="N101" s="2">
        <f t="shared" si="44"/>
        <v>0</v>
      </c>
      <c r="O101" s="2">
        <f t="shared" si="44"/>
        <v>0</v>
      </c>
      <c r="P101" s="2">
        <f t="shared" si="44"/>
        <v>0</v>
      </c>
      <c r="Q101" s="2">
        <f t="shared" si="44"/>
        <v>0.29061100000000001</v>
      </c>
      <c r="R101" s="2">
        <f t="shared" si="44"/>
        <v>0.15111771999999998</v>
      </c>
      <c r="S101" s="2">
        <f t="shared" si="44"/>
        <v>3.4873319999999999E-2</v>
      </c>
      <c r="T101" s="2">
        <f t="shared" si="44"/>
        <v>0.11043218</v>
      </c>
      <c r="U101" s="2">
        <f t="shared" si="44"/>
        <v>0</v>
      </c>
      <c r="V101" s="2">
        <f t="shared" si="44"/>
        <v>0.24411323999999998</v>
      </c>
      <c r="W101" s="2">
        <f t="shared" si="44"/>
        <v>0.28479877999999997</v>
      </c>
      <c r="X101" s="2">
        <f t="shared" si="44"/>
        <v>5.2309979999999999E-2</v>
      </c>
      <c r="Y101" s="2">
        <f t="shared" si="44"/>
        <v>0.30223543999999997</v>
      </c>
      <c r="Z101" s="2">
        <f t="shared" si="44"/>
        <v>0.31385988000000004</v>
      </c>
      <c r="AA101" s="2">
        <f t="shared" si="44"/>
        <v>0.34292097999999999</v>
      </c>
      <c r="AB101" s="2">
        <f t="shared" si="44"/>
        <v>0.19180326</v>
      </c>
      <c r="AC101" s="2">
        <f t="shared" si="44"/>
        <v>6.9746639999999999E-2</v>
      </c>
      <c r="AD101" s="2">
        <f t="shared" si="44"/>
        <v>0.37779430000000003</v>
      </c>
      <c r="AE101" s="2">
        <f t="shared" si="44"/>
        <v>0.30804766</v>
      </c>
      <c r="AF101" s="2">
        <f t="shared" si="44"/>
        <v>0</v>
      </c>
      <c r="AG101" s="2">
        <f t="shared" si="44"/>
        <v>0.22667658000000002</v>
      </c>
      <c r="AH101" s="2">
        <f t="shared" si="44"/>
        <v>0</v>
      </c>
      <c r="AI101" s="2">
        <f t="shared" si="44"/>
        <v>0.25573768000000002</v>
      </c>
      <c r="AJ101" s="2">
        <f t="shared" si="44"/>
        <v>0.16274216000000002</v>
      </c>
      <c r="AK101" s="2">
        <f t="shared" si="44"/>
        <v>1.743666E-2</v>
      </c>
      <c r="AL101" s="2">
        <f t="shared" si="44"/>
        <v>7.5558859999999992E-2</v>
      </c>
      <c r="AM101" s="2">
        <f t="shared" si="44"/>
        <v>0</v>
      </c>
      <c r="AN101" s="2">
        <f t="shared" si="44"/>
        <v>0</v>
      </c>
      <c r="AO101" s="2">
        <f t="shared" si="44"/>
        <v>5.8122199999999999E-3</v>
      </c>
      <c r="AP101" s="2">
        <f t="shared" si="44"/>
        <v>5.8122199999999999E-3</v>
      </c>
      <c r="AQ101" s="2">
        <f t="shared" si="44"/>
        <v>0</v>
      </c>
      <c r="AR101" s="2">
        <f t="shared" si="44"/>
        <v>1.743666E-2</v>
      </c>
      <c r="AS101" s="2">
        <f t="shared" si="44"/>
        <v>1.743666E-2</v>
      </c>
    </row>
    <row r="102" spans="1:45" hidden="1" x14ac:dyDescent="0.25">
      <c r="A102" s="2" t="s">
        <v>71</v>
      </c>
      <c r="B102" s="2">
        <v>58.122199999999999</v>
      </c>
      <c r="C102" s="2">
        <f t="shared" si="44"/>
        <v>2.324888E-2</v>
      </c>
      <c r="D102" s="2">
        <f t="shared" si="44"/>
        <v>0.16855437999999998</v>
      </c>
      <c r="E102" s="2">
        <f t="shared" si="44"/>
        <v>5.8122199999999999E-3</v>
      </c>
      <c r="F102" s="2">
        <f t="shared" si="44"/>
        <v>0</v>
      </c>
      <c r="G102" s="2">
        <f t="shared" si="44"/>
        <v>0</v>
      </c>
      <c r="H102" s="2">
        <f t="shared" si="44"/>
        <v>0.25573768000000002</v>
      </c>
      <c r="I102" s="2">
        <f t="shared" si="44"/>
        <v>0.12786884000000001</v>
      </c>
      <c r="J102" s="2">
        <f t="shared" si="44"/>
        <v>0.30223543999999997</v>
      </c>
      <c r="K102" s="2">
        <f t="shared" si="44"/>
        <v>0.24411323999999998</v>
      </c>
      <c r="L102" s="2">
        <f t="shared" si="44"/>
        <v>1.743666E-2</v>
      </c>
      <c r="M102" s="2">
        <f t="shared" si="44"/>
        <v>8.1371080000000012E-2</v>
      </c>
      <c r="N102" s="2">
        <f t="shared" si="44"/>
        <v>0</v>
      </c>
      <c r="O102" s="2">
        <f t="shared" si="44"/>
        <v>0</v>
      </c>
      <c r="P102" s="2">
        <f t="shared" si="44"/>
        <v>0</v>
      </c>
      <c r="Q102" s="2">
        <f t="shared" si="44"/>
        <v>0.38941873999999999</v>
      </c>
      <c r="R102" s="2">
        <f t="shared" si="44"/>
        <v>0.18599104</v>
      </c>
      <c r="S102" s="2">
        <f t="shared" si="44"/>
        <v>1.743666E-2</v>
      </c>
      <c r="T102" s="2">
        <f t="shared" si="44"/>
        <v>5.2309979999999999E-2</v>
      </c>
      <c r="U102" s="2">
        <f t="shared" si="44"/>
        <v>0</v>
      </c>
      <c r="V102" s="2">
        <f t="shared" si="44"/>
        <v>0.22086436000000001</v>
      </c>
      <c r="W102" s="2">
        <f t="shared" si="44"/>
        <v>0.34873320000000002</v>
      </c>
      <c r="X102" s="2">
        <f t="shared" si="44"/>
        <v>6.3934420000000006E-2</v>
      </c>
      <c r="Y102" s="2">
        <f t="shared" si="44"/>
        <v>0.37198207999999999</v>
      </c>
      <c r="Z102" s="2">
        <f t="shared" si="44"/>
        <v>0.30804766</v>
      </c>
      <c r="AA102" s="2">
        <f t="shared" si="44"/>
        <v>0.2324888</v>
      </c>
      <c r="AB102" s="2">
        <f t="shared" si="44"/>
        <v>0.18599104</v>
      </c>
      <c r="AC102" s="2">
        <f t="shared" si="44"/>
        <v>0.16274216000000002</v>
      </c>
      <c r="AD102" s="2">
        <f t="shared" si="44"/>
        <v>0.35454541999999994</v>
      </c>
      <c r="AE102" s="2">
        <f t="shared" si="44"/>
        <v>0.36035763999999998</v>
      </c>
      <c r="AF102" s="2">
        <f t="shared" si="44"/>
        <v>0</v>
      </c>
      <c r="AG102" s="2">
        <f t="shared" si="44"/>
        <v>0.34292097999999999</v>
      </c>
      <c r="AH102" s="2">
        <f t="shared" si="44"/>
        <v>0</v>
      </c>
      <c r="AI102" s="2">
        <f t="shared" si="44"/>
        <v>0.29061100000000001</v>
      </c>
      <c r="AJ102" s="2">
        <f t="shared" si="44"/>
        <v>0.13949328</v>
      </c>
      <c r="AK102" s="2">
        <f t="shared" si="44"/>
        <v>1.162444E-2</v>
      </c>
      <c r="AL102" s="2">
        <f t="shared" si="44"/>
        <v>9.8807740000000005E-2</v>
      </c>
      <c r="AM102" s="2">
        <f t="shared" si="44"/>
        <v>0</v>
      </c>
      <c r="AN102" s="2">
        <f t="shared" si="44"/>
        <v>0</v>
      </c>
      <c r="AO102" s="2">
        <f t="shared" si="44"/>
        <v>5.8122199999999999E-3</v>
      </c>
      <c r="AP102" s="2">
        <f t="shared" si="44"/>
        <v>5.8122199999999999E-3</v>
      </c>
      <c r="AQ102" s="2">
        <f t="shared" si="44"/>
        <v>0</v>
      </c>
      <c r="AR102" s="2">
        <f t="shared" si="44"/>
        <v>1.743666E-2</v>
      </c>
      <c r="AS102" s="2">
        <f t="shared" si="44"/>
        <v>2.324888E-2</v>
      </c>
    </row>
    <row r="103" spans="1:45" hidden="1" x14ac:dyDescent="0.25">
      <c r="A103" s="2" t="s">
        <v>72</v>
      </c>
      <c r="B103" s="2">
        <v>72.148799999999994</v>
      </c>
      <c r="C103" s="2">
        <f t="shared" si="44"/>
        <v>5.7719039999999999E-2</v>
      </c>
      <c r="D103" s="2">
        <f t="shared" si="44"/>
        <v>0</v>
      </c>
      <c r="E103" s="2">
        <f t="shared" si="44"/>
        <v>0</v>
      </c>
      <c r="F103" s="2">
        <f t="shared" si="44"/>
        <v>0</v>
      </c>
      <c r="G103" s="2">
        <f t="shared" si="44"/>
        <v>0</v>
      </c>
      <c r="H103" s="2">
        <f t="shared" si="44"/>
        <v>0</v>
      </c>
      <c r="I103" s="2">
        <f t="shared" si="44"/>
        <v>2.885952E-2</v>
      </c>
      <c r="J103" s="2">
        <f t="shared" si="44"/>
        <v>2.885952E-2</v>
      </c>
      <c r="K103" s="2">
        <f t="shared" si="44"/>
        <v>5.0504160000000006E-2</v>
      </c>
      <c r="L103" s="2">
        <f t="shared" si="44"/>
        <v>0</v>
      </c>
      <c r="M103" s="2">
        <f t="shared" si="44"/>
        <v>1.442976E-2</v>
      </c>
      <c r="N103" s="2">
        <f t="shared" si="44"/>
        <v>0</v>
      </c>
      <c r="O103" s="2">
        <f t="shared" si="44"/>
        <v>0</v>
      </c>
      <c r="P103" s="2">
        <f t="shared" si="44"/>
        <v>0</v>
      </c>
      <c r="Q103" s="2">
        <f t="shared" si="44"/>
        <v>2.885952E-2</v>
      </c>
      <c r="R103" s="2">
        <f t="shared" si="44"/>
        <v>2.885952E-2</v>
      </c>
      <c r="S103" s="2">
        <f t="shared" si="44"/>
        <v>1.442976E-2</v>
      </c>
      <c r="T103" s="2">
        <f t="shared" si="44"/>
        <v>2.1644639999999996E-2</v>
      </c>
      <c r="U103" s="2">
        <f t="shared" si="44"/>
        <v>0</v>
      </c>
      <c r="V103" s="2">
        <f t="shared" si="44"/>
        <v>0</v>
      </c>
      <c r="W103" s="2">
        <f t="shared" si="44"/>
        <v>1.442976E-2</v>
      </c>
      <c r="X103" s="2">
        <f t="shared" si="44"/>
        <v>1.442976E-2</v>
      </c>
      <c r="Y103" s="2">
        <f t="shared" si="44"/>
        <v>4.3289279999999992E-2</v>
      </c>
      <c r="Z103" s="2">
        <f t="shared" si="44"/>
        <v>1.442976E-2</v>
      </c>
      <c r="AA103" s="2">
        <f t="shared" si="44"/>
        <v>1.442976E-2</v>
      </c>
      <c r="AB103" s="2">
        <f t="shared" si="44"/>
        <v>0</v>
      </c>
      <c r="AC103" s="2">
        <f t="shared" si="44"/>
        <v>1.442976E-2</v>
      </c>
      <c r="AD103" s="2">
        <f t="shared" si="44"/>
        <v>1.442976E-2</v>
      </c>
      <c r="AE103" s="2">
        <f t="shared" si="44"/>
        <v>4.3289279999999992E-2</v>
      </c>
      <c r="AF103" s="2">
        <f t="shared" si="44"/>
        <v>0</v>
      </c>
      <c r="AG103" s="2">
        <f t="shared" si="44"/>
        <v>0</v>
      </c>
      <c r="AH103" s="2">
        <f t="shared" si="44"/>
        <v>0</v>
      </c>
      <c r="AI103" s="2">
        <f t="shared" si="44"/>
        <v>1.442976E-2</v>
      </c>
      <c r="AJ103" s="2">
        <f t="shared" si="44"/>
        <v>0</v>
      </c>
      <c r="AK103" s="2">
        <f t="shared" si="44"/>
        <v>0</v>
      </c>
      <c r="AL103" s="2">
        <f t="shared" si="44"/>
        <v>0</v>
      </c>
      <c r="AM103" s="2">
        <f t="shared" si="44"/>
        <v>0</v>
      </c>
      <c r="AN103" s="2">
        <f t="shared" si="44"/>
        <v>0</v>
      </c>
      <c r="AO103" s="2">
        <f t="shared" si="44"/>
        <v>0</v>
      </c>
      <c r="AP103" s="2">
        <f t="shared" si="44"/>
        <v>0</v>
      </c>
      <c r="AQ103" s="2">
        <f t="shared" ref="AQ103:AS103" si="45">AQ10/100*$B103</f>
        <v>0</v>
      </c>
      <c r="AR103" s="2">
        <f t="shared" si="45"/>
        <v>7.2148799999999999E-3</v>
      </c>
      <c r="AS103" s="2">
        <f t="shared" si="45"/>
        <v>0</v>
      </c>
    </row>
    <row r="104" spans="1:45" hidden="1" x14ac:dyDescent="0.25">
      <c r="A104" s="2" t="s">
        <v>73</v>
      </c>
      <c r="B104" s="2">
        <v>72.148799999999994</v>
      </c>
      <c r="C104" s="2">
        <f t="shared" ref="C104:AS108" si="46">C11/100*$B104</f>
        <v>2.1644639999999996E-2</v>
      </c>
      <c r="D104" s="2">
        <f t="shared" si="46"/>
        <v>0</v>
      </c>
      <c r="E104" s="2">
        <f t="shared" si="46"/>
        <v>0</v>
      </c>
      <c r="F104" s="2">
        <f t="shared" si="46"/>
        <v>0</v>
      </c>
      <c r="G104" s="2">
        <f t="shared" si="46"/>
        <v>0</v>
      </c>
      <c r="H104" s="2">
        <f t="shared" si="46"/>
        <v>0</v>
      </c>
      <c r="I104" s="2">
        <f t="shared" si="46"/>
        <v>7.2148799999999999E-3</v>
      </c>
      <c r="J104" s="2">
        <f t="shared" si="46"/>
        <v>7.2148799999999999E-3</v>
      </c>
      <c r="K104" s="2">
        <f t="shared" si="46"/>
        <v>1.442976E-2</v>
      </c>
      <c r="L104" s="2">
        <f t="shared" si="46"/>
        <v>0</v>
      </c>
      <c r="M104" s="2">
        <f t="shared" si="46"/>
        <v>7.2148799999999999E-3</v>
      </c>
      <c r="N104" s="2">
        <f t="shared" si="46"/>
        <v>0</v>
      </c>
      <c r="O104" s="2">
        <f t="shared" si="46"/>
        <v>0</v>
      </c>
      <c r="P104" s="2">
        <f t="shared" si="46"/>
        <v>0</v>
      </c>
      <c r="Q104" s="2">
        <f t="shared" si="46"/>
        <v>1.442976E-2</v>
      </c>
      <c r="R104" s="2">
        <f t="shared" si="46"/>
        <v>1.442976E-2</v>
      </c>
      <c r="S104" s="2">
        <f t="shared" si="46"/>
        <v>0</v>
      </c>
      <c r="T104" s="2">
        <f t="shared" si="46"/>
        <v>0</v>
      </c>
      <c r="U104" s="2">
        <f t="shared" si="46"/>
        <v>0</v>
      </c>
      <c r="V104" s="2">
        <f t="shared" si="46"/>
        <v>0</v>
      </c>
      <c r="W104" s="2">
        <f t="shared" si="46"/>
        <v>0</v>
      </c>
      <c r="X104" s="2">
        <f t="shared" si="46"/>
        <v>0</v>
      </c>
      <c r="Y104" s="2">
        <f t="shared" si="46"/>
        <v>7.2148799999999999E-3</v>
      </c>
      <c r="Z104" s="2">
        <f t="shared" si="46"/>
        <v>0</v>
      </c>
      <c r="AA104" s="2">
        <f t="shared" si="46"/>
        <v>7.2148799999999999E-3</v>
      </c>
      <c r="AB104" s="2">
        <f t="shared" si="46"/>
        <v>7.2148799999999999E-3</v>
      </c>
      <c r="AC104" s="2">
        <f t="shared" si="46"/>
        <v>0</v>
      </c>
      <c r="AD104" s="2">
        <f t="shared" si="46"/>
        <v>0</v>
      </c>
      <c r="AE104" s="2">
        <f t="shared" si="46"/>
        <v>1.442976E-2</v>
      </c>
      <c r="AF104" s="2">
        <f t="shared" si="46"/>
        <v>0</v>
      </c>
      <c r="AG104" s="2">
        <f t="shared" si="46"/>
        <v>0</v>
      </c>
      <c r="AH104" s="2">
        <f t="shared" si="46"/>
        <v>0</v>
      </c>
      <c r="AI104" s="2">
        <f t="shared" si="46"/>
        <v>0</v>
      </c>
      <c r="AJ104" s="2">
        <f t="shared" si="46"/>
        <v>0</v>
      </c>
      <c r="AK104" s="2">
        <f t="shared" si="46"/>
        <v>0</v>
      </c>
      <c r="AL104" s="2">
        <f t="shared" si="46"/>
        <v>0</v>
      </c>
      <c r="AM104" s="2">
        <f t="shared" si="46"/>
        <v>0</v>
      </c>
      <c r="AN104" s="2">
        <f t="shared" si="46"/>
        <v>0</v>
      </c>
      <c r="AO104" s="2">
        <f t="shared" si="46"/>
        <v>0</v>
      </c>
      <c r="AP104" s="2">
        <f t="shared" si="46"/>
        <v>0</v>
      </c>
      <c r="AQ104" s="2">
        <f t="shared" si="46"/>
        <v>0</v>
      </c>
      <c r="AR104" s="2">
        <f t="shared" si="46"/>
        <v>0</v>
      </c>
      <c r="AS104" s="2">
        <f t="shared" si="46"/>
        <v>0</v>
      </c>
    </row>
    <row r="105" spans="1:45" hidden="1" x14ac:dyDescent="0.25">
      <c r="A105" s="2" t="s">
        <v>74</v>
      </c>
      <c r="B105" s="2">
        <v>86.175399999999996</v>
      </c>
      <c r="C105" s="2">
        <f t="shared" si="46"/>
        <v>0</v>
      </c>
      <c r="D105" s="2">
        <f t="shared" si="46"/>
        <v>0</v>
      </c>
      <c r="E105" s="2">
        <f t="shared" si="46"/>
        <v>0</v>
      </c>
      <c r="F105" s="2">
        <f t="shared" si="46"/>
        <v>0</v>
      </c>
      <c r="G105" s="2">
        <f t="shared" si="46"/>
        <v>0</v>
      </c>
      <c r="H105" s="2">
        <f t="shared" si="46"/>
        <v>0</v>
      </c>
      <c r="I105" s="2">
        <f t="shared" si="46"/>
        <v>0</v>
      </c>
      <c r="J105" s="2">
        <f t="shared" si="46"/>
        <v>0</v>
      </c>
      <c r="K105" s="2">
        <f t="shared" si="46"/>
        <v>0</v>
      </c>
      <c r="L105" s="2">
        <f t="shared" si="46"/>
        <v>0</v>
      </c>
      <c r="M105" s="2">
        <f t="shared" si="46"/>
        <v>0</v>
      </c>
      <c r="N105" s="2">
        <f t="shared" si="46"/>
        <v>0</v>
      </c>
      <c r="O105" s="2">
        <f t="shared" si="46"/>
        <v>0</v>
      </c>
      <c r="P105" s="2">
        <f t="shared" si="46"/>
        <v>0</v>
      </c>
      <c r="Q105" s="2">
        <f t="shared" si="46"/>
        <v>0</v>
      </c>
      <c r="R105" s="2">
        <f t="shared" si="46"/>
        <v>8.6175399999999999E-3</v>
      </c>
      <c r="S105" s="2">
        <f t="shared" si="46"/>
        <v>0</v>
      </c>
      <c r="T105" s="2">
        <f t="shared" si="46"/>
        <v>0</v>
      </c>
      <c r="U105" s="2">
        <f t="shared" si="46"/>
        <v>0</v>
      </c>
      <c r="V105" s="2">
        <f t="shared" si="46"/>
        <v>0</v>
      </c>
      <c r="W105" s="2">
        <f t="shared" si="46"/>
        <v>0</v>
      </c>
      <c r="X105" s="2">
        <f t="shared" si="46"/>
        <v>0</v>
      </c>
      <c r="Y105" s="2">
        <f t="shared" si="46"/>
        <v>0</v>
      </c>
      <c r="Z105" s="2">
        <f t="shared" si="46"/>
        <v>0</v>
      </c>
      <c r="AA105" s="2">
        <f t="shared" si="46"/>
        <v>0</v>
      </c>
      <c r="AB105" s="2">
        <f t="shared" si="46"/>
        <v>0</v>
      </c>
      <c r="AC105" s="2">
        <f t="shared" si="46"/>
        <v>0</v>
      </c>
      <c r="AD105" s="2">
        <f t="shared" si="46"/>
        <v>0</v>
      </c>
      <c r="AE105" s="2">
        <f t="shared" si="46"/>
        <v>0</v>
      </c>
      <c r="AF105" s="2">
        <f t="shared" si="46"/>
        <v>0</v>
      </c>
      <c r="AG105" s="2">
        <f t="shared" si="46"/>
        <v>0</v>
      </c>
      <c r="AH105" s="2">
        <f t="shared" si="46"/>
        <v>0</v>
      </c>
      <c r="AI105" s="2">
        <f t="shared" si="46"/>
        <v>0</v>
      </c>
      <c r="AJ105" s="2">
        <f t="shared" si="46"/>
        <v>0</v>
      </c>
      <c r="AK105" s="2">
        <f t="shared" si="46"/>
        <v>0</v>
      </c>
      <c r="AL105" s="2">
        <f t="shared" si="46"/>
        <v>0</v>
      </c>
      <c r="AM105" s="2">
        <f t="shared" si="46"/>
        <v>0</v>
      </c>
      <c r="AN105" s="2">
        <f t="shared" si="46"/>
        <v>0</v>
      </c>
      <c r="AO105" s="2">
        <f t="shared" si="46"/>
        <v>0</v>
      </c>
      <c r="AP105" s="2">
        <f t="shared" si="46"/>
        <v>0</v>
      </c>
      <c r="AQ105" s="2">
        <f t="shared" si="46"/>
        <v>0</v>
      </c>
      <c r="AR105" s="2">
        <f t="shared" si="46"/>
        <v>0</v>
      </c>
      <c r="AS105" s="2">
        <f t="shared" si="46"/>
        <v>0</v>
      </c>
    </row>
    <row r="106" spans="1:45" hidden="1" x14ac:dyDescent="0.25">
      <c r="A106" s="2" t="s">
        <v>75</v>
      </c>
      <c r="B106" s="2">
        <v>28.013400000000001</v>
      </c>
      <c r="C106" s="2">
        <f t="shared" si="46"/>
        <v>0.10925226</v>
      </c>
      <c r="D106" s="2">
        <f t="shared" si="46"/>
        <v>0.21850452000000001</v>
      </c>
      <c r="E106" s="2">
        <f t="shared" si="46"/>
        <v>0.18488844000000001</v>
      </c>
      <c r="F106" s="2">
        <f t="shared" si="46"/>
        <v>9.5245560000000007E-2</v>
      </c>
      <c r="G106" s="2">
        <f t="shared" si="46"/>
        <v>1.680804E-2</v>
      </c>
      <c r="H106" s="2">
        <f t="shared" si="46"/>
        <v>3.6417419999999999E-2</v>
      </c>
      <c r="I106" s="2">
        <f t="shared" si="46"/>
        <v>5.8828140000000001E-2</v>
      </c>
      <c r="J106" s="2">
        <f t="shared" si="46"/>
        <v>1.40067E-2</v>
      </c>
      <c r="K106" s="2">
        <f t="shared" si="46"/>
        <v>6.7232159999999999E-2</v>
      </c>
      <c r="L106" s="2">
        <f t="shared" si="46"/>
        <v>3.361608E-2</v>
      </c>
      <c r="M106" s="2">
        <f t="shared" si="46"/>
        <v>3.361608E-2</v>
      </c>
      <c r="N106" s="2">
        <f t="shared" si="46"/>
        <v>3.6417419999999999E-2</v>
      </c>
      <c r="O106" s="2">
        <f t="shared" si="46"/>
        <v>4.7622780000000003E-2</v>
      </c>
      <c r="P106" s="2">
        <f t="shared" si="46"/>
        <v>3.361608E-2</v>
      </c>
      <c r="Q106" s="2">
        <f t="shared" si="46"/>
        <v>1.40067E-2</v>
      </c>
      <c r="R106" s="2">
        <f t="shared" si="46"/>
        <v>7.8437520000000011E-2</v>
      </c>
      <c r="S106" s="2">
        <f t="shared" si="46"/>
        <v>8.4040199999999999E-3</v>
      </c>
      <c r="T106" s="2">
        <f t="shared" si="46"/>
        <v>2.8013400000000003E-3</v>
      </c>
      <c r="U106" s="2">
        <f t="shared" si="46"/>
        <v>2.8013400000000003E-3</v>
      </c>
      <c r="V106" s="2">
        <f t="shared" si="46"/>
        <v>2.2410720000000002E-2</v>
      </c>
      <c r="W106" s="2">
        <f t="shared" si="46"/>
        <v>5.6026800000000005E-3</v>
      </c>
      <c r="X106" s="2">
        <f t="shared" si="46"/>
        <v>8.6841539999999995E-2</v>
      </c>
      <c r="Y106" s="2">
        <f t="shared" si="46"/>
        <v>7.8437520000000011E-2</v>
      </c>
      <c r="Z106" s="2">
        <f t="shared" si="46"/>
        <v>6.443082E-2</v>
      </c>
      <c r="AA106" s="2">
        <f t="shared" si="46"/>
        <v>3.0814740000000004E-2</v>
      </c>
      <c r="AB106" s="2">
        <f t="shared" si="46"/>
        <v>8.4040199999999999E-3</v>
      </c>
      <c r="AC106" s="2">
        <f t="shared" si="46"/>
        <v>0.21570318000000002</v>
      </c>
      <c r="AD106" s="2">
        <f t="shared" si="46"/>
        <v>7.2834839999999998E-2</v>
      </c>
      <c r="AE106" s="2">
        <f t="shared" si="46"/>
        <v>0.10364958000000001</v>
      </c>
      <c r="AF106" s="2">
        <f t="shared" si="46"/>
        <v>0.19609379999999998</v>
      </c>
      <c r="AG106" s="2">
        <f t="shared" si="46"/>
        <v>0.15127236000000002</v>
      </c>
      <c r="AH106" s="2">
        <f t="shared" si="46"/>
        <v>9.2444220000000007E-2</v>
      </c>
      <c r="AI106" s="2">
        <f t="shared" si="46"/>
        <v>1.9609380000000003E-2</v>
      </c>
      <c r="AJ106" s="2">
        <f t="shared" si="46"/>
        <v>7.5636180000000011E-2</v>
      </c>
      <c r="AK106" s="2">
        <f t="shared" si="46"/>
        <v>2.8013400000000003E-3</v>
      </c>
      <c r="AL106" s="2">
        <f t="shared" si="46"/>
        <v>0.10925226</v>
      </c>
      <c r="AM106" s="2">
        <f t="shared" si="46"/>
        <v>4.7622780000000003E-2</v>
      </c>
      <c r="AN106" s="2">
        <f t="shared" si="46"/>
        <v>0</v>
      </c>
      <c r="AO106" s="2">
        <f t="shared" si="46"/>
        <v>1.9609380000000003E-2</v>
      </c>
      <c r="AP106" s="2">
        <f t="shared" si="46"/>
        <v>3.361608E-2</v>
      </c>
      <c r="AQ106" s="2">
        <f t="shared" si="46"/>
        <v>0</v>
      </c>
      <c r="AR106" s="2">
        <f t="shared" si="46"/>
        <v>1.680804E-2</v>
      </c>
      <c r="AS106" s="2">
        <f t="shared" si="46"/>
        <v>8.4040199999999999E-3</v>
      </c>
    </row>
    <row r="107" spans="1:45" hidden="1" x14ac:dyDescent="0.25">
      <c r="A107" s="2" t="s">
        <v>76</v>
      </c>
      <c r="B107" s="2">
        <v>44.009500000000003</v>
      </c>
      <c r="C107" s="2">
        <f t="shared" si="46"/>
        <v>0</v>
      </c>
      <c r="D107" s="2">
        <f t="shared" si="46"/>
        <v>0</v>
      </c>
      <c r="E107" s="2">
        <f t="shared" si="46"/>
        <v>0</v>
      </c>
      <c r="F107" s="2">
        <f t="shared" si="46"/>
        <v>0</v>
      </c>
      <c r="G107" s="2">
        <f t="shared" si="46"/>
        <v>0</v>
      </c>
      <c r="H107" s="2">
        <f t="shared" si="46"/>
        <v>0</v>
      </c>
      <c r="I107" s="2">
        <f t="shared" si="46"/>
        <v>0</v>
      </c>
      <c r="J107" s="2">
        <f t="shared" si="46"/>
        <v>0</v>
      </c>
      <c r="K107" s="2">
        <f t="shared" si="46"/>
        <v>0</v>
      </c>
      <c r="L107" s="2">
        <f t="shared" si="46"/>
        <v>0</v>
      </c>
      <c r="M107" s="2">
        <f t="shared" si="46"/>
        <v>0</v>
      </c>
      <c r="N107" s="2">
        <f t="shared" si="46"/>
        <v>0</v>
      </c>
      <c r="O107" s="2">
        <f t="shared" si="46"/>
        <v>0</v>
      </c>
      <c r="P107" s="2">
        <f t="shared" si="46"/>
        <v>0</v>
      </c>
      <c r="Q107" s="2">
        <f t="shared" si="46"/>
        <v>0</v>
      </c>
      <c r="R107" s="2">
        <f t="shared" si="46"/>
        <v>0</v>
      </c>
      <c r="S107" s="2">
        <f t="shared" si="46"/>
        <v>0</v>
      </c>
      <c r="T107" s="2">
        <f t="shared" si="46"/>
        <v>0</v>
      </c>
      <c r="U107" s="2">
        <f t="shared" si="46"/>
        <v>0</v>
      </c>
      <c r="V107" s="2">
        <f t="shared" si="46"/>
        <v>0</v>
      </c>
      <c r="W107" s="2">
        <f t="shared" si="46"/>
        <v>0</v>
      </c>
      <c r="X107" s="2">
        <f t="shared" si="46"/>
        <v>0</v>
      </c>
      <c r="Y107" s="2">
        <f t="shared" si="46"/>
        <v>0</v>
      </c>
      <c r="Z107" s="2">
        <f t="shared" si="46"/>
        <v>0</v>
      </c>
      <c r="AA107" s="2">
        <f t="shared" si="46"/>
        <v>0</v>
      </c>
      <c r="AB107" s="2">
        <f t="shared" si="46"/>
        <v>0</v>
      </c>
      <c r="AC107" s="2">
        <f t="shared" si="46"/>
        <v>0</v>
      </c>
      <c r="AD107" s="2">
        <f t="shared" si="46"/>
        <v>0</v>
      </c>
      <c r="AE107" s="2">
        <f t="shared" si="46"/>
        <v>0</v>
      </c>
      <c r="AF107" s="2">
        <f t="shared" si="46"/>
        <v>0</v>
      </c>
      <c r="AG107" s="2">
        <f t="shared" si="46"/>
        <v>0</v>
      </c>
      <c r="AH107" s="2">
        <f t="shared" si="46"/>
        <v>0</v>
      </c>
      <c r="AI107" s="2">
        <f t="shared" si="46"/>
        <v>0</v>
      </c>
      <c r="AJ107" s="2">
        <f t="shared" si="46"/>
        <v>0</v>
      </c>
      <c r="AK107" s="2">
        <f t="shared" si="46"/>
        <v>0</v>
      </c>
      <c r="AL107" s="2">
        <f t="shared" si="46"/>
        <v>0</v>
      </c>
      <c r="AM107" s="2">
        <f t="shared" si="46"/>
        <v>0</v>
      </c>
      <c r="AN107" s="2">
        <f t="shared" si="46"/>
        <v>0</v>
      </c>
      <c r="AO107" s="2">
        <f t="shared" si="46"/>
        <v>0</v>
      </c>
      <c r="AP107" s="2">
        <f t="shared" si="46"/>
        <v>0</v>
      </c>
      <c r="AQ107" s="2">
        <f t="shared" si="46"/>
        <v>0</v>
      </c>
      <c r="AR107" s="2">
        <f t="shared" si="46"/>
        <v>0</v>
      </c>
      <c r="AS107" s="2">
        <f t="shared" si="46"/>
        <v>0</v>
      </c>
    </row>
    <row r="108" spans="1:45" hidden="1" x14ac:dyDescent="0.25">
      <c r="A108" s="2" t="s">
        <v>77</v>
      </c>
      <c r="B108" s="2">
        <v>31.998799999999999</v>
      </c>
      <c r="C108" s="2">
        <f t="shared" si="46"/>
        <v>0</v>
      </c>
      <c r="D108" s="2">
        <f t="shared" si="46"/>
        <v>0</v>
      </c>
      <c r="E108" s="2">
        <f t="shared" si="46"/>
        <v>0</v>
      </c>
      <c r="F108" s="2">
        <f t="shared" si="46"/>
        <v>0</v>
      </c>
      <c r="G108" s="2">
        <f t="shared" si="46"/>
        <v>0</v>
      </c>
      <c r="H108" s="2">
        <f t="shared" si="46"/>
        <v>0</v>
      </c>
      <c r="I108" s="2">
        <f t="shared" si="46"/>
        <v>0</v>
      </c>
      <c r="J108" s="2">
        <f t="shared" si="46"/>
        <v>0</v>
      </c>
      <c r="K108" s="2">
        <f t="shared" si="46"/>
        <v>0</v>
      </c>
      <c r="L108" s="2">
        <f t="shared" si="46"/>
        <v>0</v>
      </c>
      <c r="M108" s="2">
        <f t="shared" si="46"/>
        <v>0</v>
      </c>
      <c r="N108" s="2">
        <f t="shared" si="46"/>
        <v>0</v>
      </c>
      <c r="O108" s="2">
        <f t="shared" si="46"/>
        <v>0</v>
      </c>
      <c r="P108" s="2">
        <f t="shared" si="46"/>
        <v>0</v>
      </c>
      <c r="Q108" s="2">
        <f t="shared" si="46"/>
        <v>0</v>
      </c>
      <c r="R108" s="2">
        <f t="shared" si="46"/>
        <v>0</v>
      </c>
      <c r="S108" s="2">
        <f t="shared" si="46"/>
        <v>0</v>
      </c>
      <c r="T108" s="2">
        <f t="shared" si="46"/>
        <v>0</v>
      </c>
      <c r="U108" s="2">
        <f t="shared" si="46"/>
        <v>0</v>
      </c>
      <c r="V108" s="2">
        <f t="shared" si="46"/>
        <v>0</v>
      </c>
      <c r="W108" s="2">
        <f t="shared" si="46"/>
        <v>0</v>
      </c>
      <c r="X108" s="2">
        <f t="shared" si="46"/>
        <v>0</v>
      </c>
      <c r="Y108" s="2">
        <f t="shared" si="46"/>
        <v>3.19988E-3</v>
      </c>
      <c r="Z108" s="2">
        <f t="shared" si="46"/>
        <v>0</v>
      </c>
      <c r="AA108" s="2">
        <f t="shared" si="46"/>
        <v>0</v>
      </c>
      <c r="AB108" s="2">
        <f t="shared" si="46"/>
        <v>0</v>
      </c>
      <c r="AC108" s="2">
        <f t="shared" si="46"/>
        <v>0</v>
      </c>
      <c r="AD108" s="2">
        <f t="shared" si="46"/>
        <v>0</v>
      </c>
      <c r="AE108" s="2">
        <f t="shared" si="46"/>
        <v>0</v>
      </c>
      <c r="AF108" s="2">
        <f t="shared" si="46"/>
        <v>0</v>
      </c>
      <c r="AG108" s="2">
        <f t="shared" si="46"/>
        <v>0</v>
      </c>
      <c r="AH108" s="2">
        <f t="shared" si="46"/>
        <v>0</v>
      </c>
      <c r="AI108" s="2">
        <f t="shared" si="46"/>
        <v>0</v>
      </c>
      <c r="AJ108" s="2">
        <f t="shared" si="46"/>
        <v>0</v>
      </c>
      <c r="AK108" s="2">
        <f t="shared" si="46"/>
        <v>0</v>
      </c>
      <c r="AL108" s="2">
        <f t="shared" si="46"/>
        <v>0</v>
      </c>
      <c r="AM108" s="2">
        <f t="shared" si="46"/>
        <v>0</v>
      </c>
      <c r="AN108" s="2">
        <f t="shared" si="46"/>
        <v>0</v>
      </c>
      <c r="AO108" s="2">
        <f t="shared" si="46"/>
        <v>0</v>
      </c>
      <c r="AP108" s="2">
        <f t="shared" si="46"/>
        <v>0</v>
      </c>
      <c r="AQ108" s="2">
        <f t="shared" si="46"/>
        <v>0</v>
      </c>
      <c r="AR108" s="2">
        <f t="shared" si="46"/>
        <v>0</v>
      </c>
      <c r="AS108" s="2">
        <f t="shared" si="46"/>
        <v>0</v>
      </c>
    </row>
    <row r="109" spans="1:45" hidden="1" x14ac:dyDescent="0.25">
      <c r="A109" s="2" t="s">
        <v>78</v>
      </c>
      <c r="C109" s="2">
        <f t="shared" ref="C109:AS109" si="47">SUM(C98:C108)</f>
        <v>17.734496740000004</v>
      </c>
      <c r="D109" s="2">
        <f t="shared" si="47"/>
        <v>17.985971039999999</v>
      </c>
      <c r="E109" s="2">
        <f>SUM(E98:E108)</f>
        <v>17.369867299999999</v>
      </c>
      <c r="F109" s="2">
        <f>SUM(F98:F108)</f>
        <v>17.203918419999997</v>
      </c>
      <c r="G109" s="2">
        <f t="shared" si="47"/>
        <v>17.226506029999999</v>
      </c>
      <c r="H109" s="2">
        <f>SUM(H98:H108)</f>
        <v>17.5925647</v>
      </c>
      <c r="I109" s="2">
        <f>SUM(I98:I108)</f>
        <v>17.063522280000001</v>
      </c>
      <c r="J109" s="2">
        <f>SUM(J98:J108)</f>
        <v>18.301146060000001</v>
      </c>
      <c r="K109" s="2">
        <f t="shared" si="47"/>
        <v>17.560847880000001</v>
      </c>
      <c r="L109" s="2">
        <f>SUM(L98:L108)</f>
        <v>18.294093430000004</v>
      </c>
      <c r="M109" s="2">
        <f>SUM(M98:M108)</f>
        <v>18.078086419999998</v>
      </c>
      <c r="N109" s="2">
        <f t="shared" si="47"/>
        <v>16.069283380000002</v>
      </c>
      <c r="O109" s="2">
        <f t="shared" si="47"/>
        <v>16.067058480000004</v>
      </c>
      <c r="P109" s="2">
        <f t="shared" si="47"/>
        <v>16.063878330000001</v>
      </c>
      <c r="Q109" s="2">
        <f t="shared" si="47"/>
        <v>17.876143320000001</v>
      </c>
      <c r="R109" s="2">
        <f>SUM(R98:R108)</f>
        <v>17.555817970000003</v>
      </c>
      <c r="S109" s="2">
        <f>SUM(S98:S108)</f>
        <v>16.485121119999999</v>
      </c>
      <c r="T109" s="2">
        <f t="shared" si="47"/>
        <v>16.590731670000004</v>
      </c>
      <c r="U109" s="2">
        <f t="shared" si="47"/>
        <v>16.980667369999999</v>
      </c>
      <c r="V109" s="2">
        <f>SUM(V98:V108)</f>
        <v>17.63146382</v>
      </c>
      <c r="W109" s="2">
        <f t="shared" si="47"/>
        <v>17.502251739999998</v>
      </c>
      <c r="X109" s="2">
        <f t="shared" si="47"/>
        <v>16.630852180000005</v>
      </c>
      <c r="Y109" s="2">
        <f t="shared" si="47"/>
        <v>17.725732399999998</v>
      </c>
      <c r="Z109" s="2">
        <f t="shared" si="47"/>
        <v>17.751814949999996</v>
      </c>
      <c r="AA109" s="2">
        <f>SUM(AA98:AA108)</f>
        <v>18.140011169999998</v>
      </c>
      <c r="AB109" s="2">
        <f t="shared" si="47"/>
        <v>17.570775050000002</v>
      </c>
      <c r="AC109" s="2">
        <f t="shared" si="47"/>
        <v>17.448961099999998</v>
      </c>
      <c r="AD109" s="2">
        <f t="shared" si="47"/>
        <v>17.993856879999999</v>
      </c>
      <c r="AE109" s="2">
        <f t="shared" si="47"/>
        <v>18.51759019</v>
      </c>
      <c r="AF109" s="2">
        <f t="shared" si="47"/>
        <v>17.439176800000002</v>
      </c>
      <c r="AG109" s="2">
        <f t="shared" si="47"/>
        <v>18.002127129999998</v>
      </c>
      <c r="AH109" s="2">
        <f t="shared" si="47"/>
        <v>16.961457020000001</v>
      </c>
      <c r="AI109" s="2">
        <f t="shared" si="47"/>
        <v>17.654112549999994</v>
      </c>
      <c r="AJ109" s="2">
        <f t="shared" si="47"/>
        <v>17.037041240000001</v>
      </c>
      <c r="AK109" s="2">
        <f t="shared" si="47"/>
        <v>16.359293720000004</v>
      </c>
      <c r="AL109" s="2">
        <f t="shared" si="47"/>
        <v>18.21139827</v>
      </c>
      <c r="AM109" s="2">
        <f t="shared" si="47"/>
        <v>16.076877039999999</v>
      </c>
      <c r="AN109" s="2">
        <f t="shared" si="47"/>
        <v>0</v>
      </c>
      <c r="AO109" s="2">
        <f t="shared" si="47"/>
        <v>16.43380324</v>
      </c>
      <c r="AP109" s="2">
        <f t="shared" si="47"/>
        <v>16.912481799999998</v>
      </c>
      <c r="AQ109" s="2">
        <f t="shared" si="47"/>
        <v>0</v>
      </c>
      <c r="AR109" s="2">
        <f t="shared" si="47"/>
        <v>16.686485990000005</v>
      </c>
      <c r="AS109" s="2">
        <f t="shared" si="47"/>
        <v>17.138756550000004</v>
      </c>
    </row>
    <row r="110" spans="1:45" hidden="1" x14ac:dyDescent="0.25"/>
    <row r="111" spans="1:45" hidden="1" x14ac:dyDescent="0.25">
      <c r="A111" s="40" t="s">
        <v>86</v>
      </c>
    </row>
    <row r="112" spans="1:45" hidden="1" x14ac:dyDescent="0.25">
      <c r="A112" s="2" t="s">
        <v>67</v>
      </c>
      <c r="B112" s="2">
        <v>1010</v>
      </c>
      <c r="C112" s="2">
        <f t="shared" ref="C112:AS117" si="48">C5/100*$B112</f>
        <v>905.56599999999992</v>
      </c>
      <c r="D112" s="2">
        <f t="shared" si="48"/>
        <v>895.87</v>
      </c>
      <c r="E112" s="2">
        <f t="shared" si="48"/>
        <v>922.12999999999988</v>
      </c>
      <c r="F112" s="2">
        <f t="shared" si="48"/>
        <v>925.96800000000007</v>
      </c>
      <c r="G112" s="2">
        <f t="shared" si="48"/>
        <v>926.06899999999996</v>
      </c>
      <c r="H112" s="2">
        <f t="shared" si="48"/>
        <v>932.83600000000001</v>
      </c>
      <c r="I112" s="2">
        <f t="shared" si="48"/>
        <v>955.25799999999992</v>
      </c>
      <c r="J112" s="2">
        <f t="shared" si="48"/>
        <v>894.8599999999999</v>
      </c>
      <c r="K112" s="2">
        <f t="shared" si="48"/>
        <v>934.85599999999999</v>
      </c>
      <c r="L112" s="2">
        <f t="shared" si="48"/>
        <v>863.85300000000007</v>
      </c>
      <c r="M112" s="2">
        <f t="shared" si="48"/>
        <v>890.41599999999994</v>
      </c>
      <c r="N112" s="2">
        <f t="shared" si="48"/>
        <v>1007.98</v>
      </c>
      <c r="O112" s="2">
        <f t="shared" si="48"/>
        <v>1007.98</v>
      </c>
      <c r="P112" s="2">
        <f t="shared" si="48"/>
        <v>1008.283</v>
      </c>
      <c r="Q112" s="2">
        <f t="shared" si="48"/>
        <v>927.58399999999995</v>
      </c>
      <c r="R112" s="2">
        <f t="shared" si="48"/>
        <v>937.98700000000008</v>
      </c>
      <c r="S112" s="2">
        <f t="shared" si="48"/>
        <v>982.12399999999991</v>
      </c>
      <c r="T112" s="2">
        <f t="shared" si="48"/>
        <v>981.41700000000003</v>
      </c>
      <c r="U112" s="2">
        <f t="shared" si="48"/>
        <v>943.23899999999992</v>
      </c>
      <c r="V112" s="2">
        <f t="shared" si="48"/>
        <v>927.78599999999994</v>
      </c>
      <c r="W112" s="2">
        <f t="shared" si="48"/>
        <v>947.38</v>
      </c>
      <c r="X112" s="2">
        <f t="shared" si="48"/>
        <v>976.67000000000007</v>
      </c>
      <c r="Y112" s="2">
        <f t="shared" si="48"/>
        <v>933.846</v>
      </c>
      <c r="Z112" s="2">
        <f t="shared" si="48"/>
        <v>932.33100000000002</v>
      </c>
      <c r="AA112" s="2">
        <f t="shared" si="48"/>
        <v>912.13099999999997</v>
      </c>
      <c r="AB112" s="2">
        <f t="shared" si="48"/>
        <v>932.53300000000002</v>
      </c>
      <c r="AC112" s="2">
        <f t="shared" si="48"/>
        <v>928.99800000000005</v>
      </c>
      <c r="AD112" s="2">
        <f t="shared" si="48"/>
        <v>916.47399999999993</v>
      </c>
      <c r="AE112" s="2">
        <f t="shared" si="48"/>
        <v>885.87100000000009</v>
      </c>
      <c r="AF112" s="2">
        <f t="shared" si="48"/>
        <v>909.40400000000011</v>
      </c>
      <c r="AG112" s="2">
        <f t="shared" si="48"/>
        <v>909.70699999999999</v>
      </c>
      <c r="AH112" s="2">
        <f t="shared" si="48"/>
        <v>942.32999999999993</v>
      </c>
      <c r="AI112" s="2">
        <f t="shared" si="48"/>
        <v>933.947</v>
      </c>
      <c r="AJ112" s="2">
        <f t="shared" si="48"/>
        <v>957.27800000000002</v>
      </c>
      <c r="AK112" s="2">
        <f t="shared" si="48"/>
        <v>991.01200000000006</v>
      </c>
      <c r="AL112" s="2">
        <f t="shared" si="48"/>
        <v>876.57899999999984</v>
      </c>
      <c r="AM112" s="2">
        <f t="shared" si="48"/>
        <v>1007.3739999999999</v>
      </c>
      <c r="AN112" s="2">
        <f t="shared" si="48"/>
        <v>0</v>
      </c>
      <c r="AO112" s="2">
        <f t="shared" si="48"/>
        <v>983.33600000000001</v>
      </c>
      <c r="AP112" s="2">
        <f t="shared" si="48"/>
        <v>949.4</v>
      </c>
      <c r="AQ112" s="2">
        <f t="shared" si="48"/>
        <v>0</v>
      </c>
      <c r="AR112" s="2">
        <f t="shared" si="48"/>
        <v>967.07500000000005</v>
      </c>
      <c r="AS112" s="2">
        <f t="shared" si="48"/>
        <v>940.41100000000006</v>
      </c>
    </row>
    <row r="113" spans="1:45" hidden="1" x14ac:dyDescent="0.25">
      <c r="A113" s="2" t="s">
        <v>68</v>
      </c>
      <c r="B113" s="2">
        <v>1769.7</v>
      </c>
      <c r="C113" s="2">
        <f t="shared" si="48"/>
        <v>150.07056</v>
      </c>
      <c r="D113" s="2">
        <f t="shared" si="48"/>
        <v>147.59298000000001</v>
      </c>
      <c r="E113" s="2">
        <f t="shared" si="48"/>
        <v>127.59537</v>
      </c>
      <c r="F113" s="2">
        <f t="shared" si="48"/>
        <v>141.04508999999999</v>
      </c>
      <c r="G113" s="2">
        <f t="shared" si="48"/>
        <v>143.52266999999998</v>
      </c>
      <c r="H113" s="2">
        <f t="shared" si="48"/>
        <v>86.361359999999991</v>
      </c>
      <c r="I113" s="2">
        <f t="shared" si="48"/>
        <v>67.779510000000002</v>
      </c>
      <c r="J113" s="2">
        <f t="shared" si="48"/>
        <v>134.85114000000002</v>
      </c>
      <c r="K113" s="2">
        <f t="shared" si="48"/>
        <v>83.175899999999999</v>
      </c>
      <c r="L113" s="2">
        <f t="shared" si="48"/>
        <v>226.87554000000003</v>
      </c>
      <c r="M113" s="2">
        <f t="shared" si="48"/>
        <v>166.17483000000001</v>
      </c>
      <c r="N113" s="2">
        <f t="shared" si="48"/>
        <v>1.06182</v>
      </c>
      <c r="O113" s="2">
        <f t="shared" si="48"/>
        <v>0.53090999999999999</v>
      </c>
      <c r="P113" s="2">
        <f t="shared" si="48"/>
        <v>0.88485000000000003</v>
      </c>
      <c r="Q113" s="2">
        <f t="shared" si="48"/>
        <v>79.282560000000018</v>
      </c>
      <c r="R113" s="2">
        <f t="shared" si="48"/>
        <v>68.664360000000002</v>
      </c>
      <c r="S113" s="2">
        <f t="shared" si="48"/>
        <v>43.534620000000004</v>
      </c>
      <c r="T113" s="2">
        <f t="shared" si="48"/>
        <v>36.809759999999997</v>
      </c>
      <c r="U113" s="2">
        <f t="shared" si="48"/>
        <v>115.38444</v>
      </c>
      <c r="V113" s="2">
        <f t="shared" si="48"/>
        <v>100.16502000000001</v>
      </c>
      <c r="W113" s="2">
        <f t="shared" si="48"/>
        <v>54.860700000000001</v>
      </c>
      <c r="X113" s="2">
        <f t="shared" si="48"/>
        <v>40.526130000000002</v>
      </c>
      <c r="Y113" s="2">
        <f t="shared" si="48"/>
        <v>71.672850000000011</v>
      </c>
      <c r="Z113" s="2">
        <f t="shared" si="48"/>
        <v>71.49588</v>
      </c>
      <c r="AA113" s="2">
        <f t="shared" si="48"/>
        <v>94.67895</v>
      </c>
      <c r="AB113" s="2">
        <f t="shared" si="48"/>
        <v>89.900760000000005</v>
      </c>
      <c r="AC113" s="2">
        <f t="shared" si="48"/>
        <v>98.572289999999995</v>
      </c>
      <c r="AD113" s="2">
        <f t="shared" si="48"/>
        <v>99.280170000000012</v>
      </c>
      <c r="AE113" s="2">
        <f t="shared" si="48"/>
        <v>138.39054000000002</v>
      </c>
      <c r="AF113" s="2">
        <f t="shared" si="48"/>
        <v>162.10452000000001</v>
      </c>
      <c r="AG113" s="2">
        <f t="shared" si="48"/>
        <v>110.60625</v>
      </c>
      <c r="AH113" s="2">
        <f t="shared" si="48"/>
        <v>110.60625</v>
      </c>
      <c r="AI113" s="2">
        <f t="shared" si="48"/>
        <v>79.105589999999992</v>
      </c>
      <c r="AJ113" s="2">
        <f t="shared" si="48"/>
        <v>63.00132</v>
      </c>
      <c r="AK113" s="2">
        <f t="shared" si="48"/>
        <v>27.25338</v>
      </c>
      <c r="AL113" s="2">
        <f t="shared" si="48"/>
        <v>191.30457000000001</v>
      </c>
      <c r="AM113" s="2">
        <f t="shared" si="48"/>
        <v>1.4157600000000001</v>
      </c>
      <c r="AN113" s="2">
        <f t="shared" si="48"/>
        <v>0</v>
      </c>
      <c r="AO113" s="2">
        <f t="shared" si="48"/>
        <v>43.003710000000005</v>
      </c>
      <c r="AP113" s="2">
        <f t="shared" si="48"/>
        <v>100.51895999999999</v>
      </c>
      <c r="AQ113" s="2">
        <f t="shared" si="48"/>
        <v>0</v>
      </c>
      <c r="AR113" s="2">
        <f t="shared" si="48"/>
        <v>69.372240000000005</v>
      </c>
      <c r="AS113" s="2">
        <f t="shared" si="48"/>
        <v>106.182</v>
      </c>
    </row>
    <row r="114" spans="1:45" hidden="1" x14ac:dyDescent="0.25">
      <c r="A114" s="2" t="s">
        <v>69</v>
      </c>
      <c r="B114" s="2">
        <v>2516.1</v>
      </c>
      <c r="C114" s="2">
        <f t="shared" si="48"/>
        <v>31.954469999999997</v>
      </c>
      <c r="D114" s="2">
        <f t="shared" si="48"/>
        <v>42.522089999999992</v>
      </c>
      <c r="E114" s="2">
        <f t="shared" si="48"/>
        <v>20.128799999999998</v>
      </c>
      <c r="F114" s="2">
        <f t="shared" si="48"/>
        <v>0.25161</v>
      </c>
      <c r="G114" s="2">
        <f t="shared" si="48"/>
        <v>3.5225400000000002</v>
      </c>
      <c r="H114" s="2">
        <f t="shared" si="48"/>
        <v>46.044629999999998</v>
      </c>
      <c r="I114" s="2">
        <f t="shared" si="48"/>
        <v>23.148119999999999</v>
      </c>
      <c r="J114" s="2">
        <f t="shared" si="48"/>
        <v>70.450799999999987</v>
      </c>
      <c r="K114" s="2">
        <f t="shared" si="48"/>
        <v>42.01887</v>
      </c>
      <c r="L114" s="2">
        <f t="shared" si="48"/>
        <v>36.735059999999997</v>
      </c>
      <c r="M114" s="2">
        <f t="shared" si="48"/>
        <v>50.322000000000003</v>
      </c>
      <c r="N114" s="2">
        <f t="shared" si="48"/>
        <v>0.25161</v>
      </c>
      <c r="O114" s="2">
        <f t="shared" si="48"/>
        <v>0</v>
      </c>
      <c r="P114" s="2">
        <f t="shared" si="48"/>
        <v>0</v>
      </c>
      <c r="Q114" s="2">
        <f t="shared" si="48"/>
        <v>60.386400000000002</v>
      </c>
      <c r="R114" s="2">
        <f t="shared" si="48"/>
        <v>58.373519999999992</v>
      </c>
      <c r="S114" s="2">
        <f t="shared" si="48"/>
        <v>4.02576</v>
      </c>
      <c r="T114" s="2">
        <f t="shared" si="48"/>
        <v>10.819229999999999</v>
      </c>
      <c r="U114" s="2">
        <f t="shared" si="48"/>
        <v>2.01288</v>
      </c>
      <c r="V114" s="2">
        <f t="shared" si="48"/>
        <v>40.257599999999996</v>
      </c>
      <c r="W114" s="2">
        <f t="shared" si="48"/>
        <v>49.567169999999997</v>
      </c>
      <c r="X114" s="2">
        <f t="shared" si="48"/>
        <v>12.077279999999998</v>
      </c>
      <c r="Y114" s="2">
        <f t="shared" si="48"/>
        <v>49.567169999999997</v>
      </c>
      <c r="Z114" s="2">
        <f t="shared" si="48"/>
        <v>58.625129999999999</v>
      </c>
      <c r="AA114" s="2">
        <f t="shared" si="48"/>
        <v>80.766809999999992</v>
      </c>
      <c r="AB114" s="2">
        <f t="shared" si="48"/>
        <v>47.805899999999994</v>
      </c>
      <c r="AC114" s="2">
        <f t="shared" si="48"/>
        <v>31.702859999999998</v>
      </c>
      <c r="AD114" s="2">
        <f t="shared" si="48"/>
        <v>53.08970999999999</v>
      </c>
      <c r="AE114" s="2">
        <f t="shared" si="48"/>
        <v>72.212069999999997</v>
      </c>
      <c r="AF114" s="2">
        <f t="shared" si="48"/>
        <v>2.5160999999999998</v>
      </c>
      <c r="AG114" s="2">
        <f t="shared" si="48"/>
        <v>54.347760000000001</v>
      </c>
      <c r="AH114" s="2">
        <f t="shared" si="48"/>
        <v>1.2580499999999999</v>
      </c>
      <c r="AI114" s="2">
        <f t="shared" si="48"/>
        <v>51.076829999999994</v>
      </c>
      <c r="AJ114" s="2">
        <f t="shared" si="48"/>
        <v>21.890069999999998</v>
      </c>
      <c r="AK114" s="2">
        <f t="shared" si="48"/>
        <v>7.0450800000000005</v>
      </c>
      <c r="AL114" s="2">
        <f t="shared" si="48"/>
        <v>43.025309999999998</v>
      </c>
      <c r="AM114" s="2">
        <f t="shared" si="48"/>
        <v>0.25161</v>
      </c>
      <c r="AN114" s="2">
        <f t="shared" si="48"/>
        <v>0</v>
      </c>
      <c r="AO114" s="2">
        <f t="shared" si="48"/>
        <v>3.0193199999999996</v>
      </c>
      <c r="AP114" s="2">
        <f t="shared" si="48"/>
        <v>4.5289799999999998</v>
      </c>
      <c r="AQ114" s="2">
        <f t="shared" si="48"/>
        <v>0</v>
      </c>
      <c r="AR114" s="2">
        <f t="shared" si="48"/>
        <v>5.0321999999999996</v>
      </c>
      <c r="AS114" s="2">
        <f t="shared" si="48"/>
        <v>19.877190000000002</v>
      </c>
    </row>
    <row r="115" spans="1:45" hidden="1" x14ac:dyDescent="0.25">
      <c r="A115" s="2" t="s">
        <v>70</v>
      </c>
      <c r="B115" s="2">
        <v>3251.9</v>
      </c>
      <c r="C115" s="2">
        <f t="shared" si="48"/>
        <v>1.62595</v>
      </c>
      <c r="D115" s="2">
        <f t="shared" si="48"/>
        <v>6.5038</v>
      </c>
      <c r="E115" s="2">
        <f t="shared" si="48"/>
        <v>0.65038000000000007</v>
      </c>
      <c r="F115" s="2">
        <f t="shared" si="48"/>
        <v>0</v>
      </c>
      <c r="G115" s="2">
        <f t="shared" si="48"/>
        <v>0</v>
      </c>
      <c r="H115" s="2">
        <f t="shared" si="48"/>
        <v>11.70684</v>
      </c>
      <c r="I115" s="2">
        <f t="shared" si="48"/>
        <v>6.1786099999999999</v>
      </c>
      <c r="J115" s="2">
        <f t="shared" si="48"/>
        <v>11.70684</v>
      </c>
      <c r="K115" s="2">
        <f t="shared" si="48"/>
        <v>10.406080000000001</v>
      </c>
      <c r="L115" s="2">
        <f t="shared" si="48"/>
        <v>1.3007600000000001</v>
      </c>
      <c r="M115" s="2">
        <f t="shared" si="48"/>
        <v>5.2030400000000006</v>
      </c>
      <c r="N115" s="2">
        <f t="shared" si="48"/>
        <v>0</v>
      </c>
      <c r="O115" s="2">
        <f t="shared" si="48"/>
        <v>0</v>
      </c>
      <c r="P115" s="2">
        <f t="shared" si="48"/>
        <v>0</v>
      </c>
      <c r="Q115" s="2">
        <f t="shared" si="48"/>
        <v>16.259499999999999</v>
      </c>
      <c r="R115" s="2">
        <f t="shared" si="48"/>
        <v>8.4549400000000006</v>
      </c>
      <c r="S115" s="2">
        <f t="shared" si="48"/>
        <v>1.9511399999999999</v>
      </c>
      <c r="T115" s="2">
        <f t="shared" si="48"/>
        <v>6.1786099999999999</v>
      </c>
      <c r="U115" s="2">
        <f t="shared" si="48"/>
        <v>0</v>
      </c>
      <c r="V115" s="2">
        <f t="shared" si="48"/>
        <v>13.65798</v>
      </c>
      <c r="W115" s="2">
        <f t="shared" si="48"/>
        <v>15.93431</v>
      </c>
      <c r="X115" s="2">
        <f t="shared" si="48"/>
        <v>2.9267099999999999</v>
      </c>
      <c r="Y115" s="2">
        <f t="shared" si="48"/>
        <v>16.909880000000001</v>
      </c>
      <c r="Z115" s="2">
        <f t="shared" si="48"/>
        <v>17.560260000000003</v>
      </c>
      <c r="AA115" s="2">
        <f t="shared" si="48"/>
        <v>19.186209999999999</v>
      </c>
      <c r="AB115" s="2">
        <f t="shared" si="48"/>
        <v>10.73127</v>
      </c>
      <c r="AC115" s="2">
        <f t="shared" si="48"/>
        <v>3.9022799999999997</v>
      </c>
      <c r="AD115" s="2">
        <f t="shared" si="48"/>
        <v>21.137350000000001</v>
      </c>
      <c r="AE115" s="2">
        <f t="shared" si="48"/>
        <v>17.23507</v>
      </c>
      <c r="AF115" s="2">
        <f t="shared" si="48"/>
        <v>0</v>
      </c>
      <c r="AG115" s="2">
        <f t="shared" si="48"/>
        <v>12.682410000000001</v>
      </c>
      <c r="AH115" s="2">
        <f t="shared" si="48"/>
        <v>0</v>
      </c>
      <c r="AI115" s="2">
        <f t="shared" si="48"/>
        <v>14.30836</v>
      </c>
      <c r="AJ115" s="2">
        <f t="shared" si="48"/>
        <v>9.1053200000000007</v>
      </c>
      <c r="AK115" s="2">
        <f t="shared" si="48"/>
        <v>0.97556999999999994</v>
      </c>
      <c r="AL115" s="2">
        <f t="shared" si="48"/>
        <v>4.2274700000000003</v>
      </c>
      <c r="AM115" s="2">
        <f t="shared" si="48"/>
        <v>0</v>
      </c>
      <c r="AN115" s="2">
        <f t="shared" si="48"/>
        <v>0</v>
      </c>
      <c r="AO115" s="2">
        <f t="shared" si="48"/>
        <v>0.32519000000000003</v>
      </c>
      <c r="AP115" s="2">
        <f t="shared" si="48"/>
        <v>0.32519000000000003</v>
      </c>
      <c r="AQ115" s="2">
        <f t="shared" si="48"/>
        <v>0</v>
      </c>
      <c r="AR115" s="2">
        <f t="shared" si="48"/>
        <v>0.97556999999999994</v>
      </c>
      <c r="AS115" s="2">
        <f t="shared" si="48"/>
        <v>0.97556999999999994</v>
      </c>
    </row>
    <row r="116" spans="1:45" hidden="1" x14ac:dyDescent="0.25">
      <c r="A116" s="2" t="s">
        <v>71</v>
      </c>
      <c r="B116" s="2">
        <v>3262.3</v>
      </c>
      <c r="C116" s="2">
        <f t="shared" si="48"/>
        <v>1.3049200000000001</v>
      </c>
      <c r="D116" s="2">
        <f t="shared" si="48"/>
        <v>9.4606700000000004</v>
      </c>
      <c r="E116" s="2">
        <f t="shared" si="48"/>
        <v>0.32623000000000002</v>
      </c>
      <c r="F116" s="2">
        <f t="shared" si="48"/>
        <v>0</v>
      </c>
      <c r="G116" s="2">
        <f t="shared" si="48"/>
        <v>0</v>
      </c>
      <c r="H116" s="2">
        <f t="shared" si="48"/>
        <v>14.354120000000002</v>
      </c>
      <c r="I116" s="2">
        <f t="shared" si="48"/>
        <v>7.1770600000000009</v>
      </c>
      <c r="J116" s="2">
        <f t="shared" si="48"/>
        <v>16.96396</v>
      </c>
      <c r="K116" s="2">
        <f t="shared" si="48"/>
        <v>13.70166</v>
      </c>
      <c r="L116" s="2">
        <f t="shared" si="48"/>
        <v>0.97868999999999995</v>
      </c>
      <c r="M116" s="2">
        <f t="shared" si="48"/>
        <v>4.5672200000000007</v>
      </c>
      <c r="N116" s="2">
        <f t="shared" si="48"/>
        <v>0</v>
      </c>
      <c r="O116" s="2">
        <f t="shared" si="48"/>
        <v>0</v>
      </c>
      <c r="P116" s="2">
        <f t="shared" si="48"/>
        <v>0</v>
      </c>
      <c r="Q116" s="2">
        <f t="shared" si="48"/>
        <v>21.857410000000002</v>
      </c>
      <c r="R116" s="2">
        <f t="shared" si="48"/>
        <v>10.439360000000001</v>
      </c>
      <c r="S116" s="2">
        <f t="shared" si="48"/>
        <v>0.97868999999999995</v>
      </c>
      <c r="T116" s="2">
        <f t="shared" si="48"/>
        <v>2.93607</v>
      </c>
      <c r="U116" s="2">
        <f t="shared" si="48"/>
        <v>0</v>
      </c>
      <c r="V116" s="2">
        <f t="shared" si="48"/>
        <v>12.396740000000001</v>
      </c>
      <c r="W116" s="2">
        <f t="shared" si="48"/>
        <v>19.573800000000002</v>
      </c>
      <c r="X116" s="2">
        <f t="shared" si="48"/>
        <v>3.5885300000000004</v>
      </c>
      <c r="Y116" s="2">
        <f t="shared" si="48"/>
        <v>20.878720000000001</v>
      </c>
      <c r="Z116" s="2">
        <f t="shared" si="48"/>
        <v>17.290190000000003</v>
      </c>
      <c r="AA116" s="2">
        <f t="shared" si="48"/>
        <v>13.049200000000001</v>
      </c>
      <c r="AB116" s="2">
        <f t="shared" si="48"/>
        <v>10.439360000000001</v>
      </c>
      <c r="AC116" s="2">
        <f t="shared" si="48"/>
        <v>9.1344400000000014</v>
      </c>
      <c r="AD116" s="2">
        <f t="shared" si="48"/>
        <v>19.900030000000001</v>
      </c>
      <c r="AE116" s="2">
        <f t="shared" si="48"/>
        <v>20.22626</v>
      </c>
      <c r="AF116" s="2">
        <f t="shared" si="48"/>
        <v>0</v>
      </c>
      <c r="AG116" s="2">
        <f t="shared" si="48"/>
        <v>19.24757</v>
      </c>
      <c r="AH116" s="2">
        <f t="shared" si="48"/>
        <v>0</v>
      </c>
      <c r="AI116" s="2">
        <f t="shared" si="48"/>
        <v>16.311500000000002</v>
      </c>
      <c r="AJ116" s="2">
        <f t="shared" si="48"/>
        <v>7.8295199999999996</v>
      </c>
      <c r="AK116" s="2">
        <f t="shared" si="48"/>
        <v>0.65246000000000004</v>
      </c>
      <c r="AL116" s="2">
        <f t="shared" si="48"/>
        <v>5.545910000000001</v>
      </c>
      <c r="AM116" s="2">
        <f t="shared" si="48"/>
        <v>0</v>
      </c>
      <c r="AN116" s="2">
        <f t="shared" si="48"/>
        <v>0</v>
      </c>
      <c r="AO116" s="2">
        <f t="shared" si="48"/>
        <v>0.32623000000000002</v>
      </c>
      <c r="AP116" s="2">
        <f t="shared" si="48"/>
        <v>0.32623000000000002</v>
      </c>
      <c r="AQ116" s="2">
        <f t="shared" si="48"/>
        <v>0</v>
      </c>
      <c r="AR116" s="2">
        <f t="shared" si="48"/>
        <v>0.97868999999999995</v>
      </c>
      <c r="AS116" s="2">
        <f t="shared" si="48"/>
        <v>1.3049200000000001</v>
      </c>
    </row>
    <row r="117" spans="1:45" hidden="1" x14ac:dyDescent="0.25">
      <c r="A117" s="2" t="s">
        <v>72</v>
      </c>
      <c r="B117" s="2">
        <v>4000.9</v>
      </c>
      <c r="C117" s="2">
        <f t="shared" si="48"/>
        <v>3.20072</v>
      </c>
      <c r="D117" s="2">
        <f t="shared" si="48"/>
        <v>0</v>
      </c>
      <c r="E117" s="2">
        <f t="shared" si="48"/>
        <v>0</v>
      </c>
      <c r="F117" s="2">
        <f t="shared" si="48"/>
        <v>0</v>
      </c>
      <c r="G117" s="2">
        <f t="shared" si="48"/>
        <v>0</v>
      </c>
      <c r="H117" s="2">
        <f t="shared" si="48"/>
        <v>0</v>
      </c>
      <c r="I117" s="2">
        <f t="shared" si="48"/>
        <v>1.60036</v>
      </c>
      <c r="J117" s="2">
        <f t="shared" si="48"/>
        <v>1.60036</v>
      </c>
      <c r="K117" s="2">
        <f t="shared" si="48"/>
        <v>2.8006300000000004</v>
      </c>
      <c r="L117" s="2">
        <f t="shared" si="48"/>
        <v>0</v>
      </c>
      <c r="M117" s="2">
        <f t="shared" si="48"/>
        <v>0.80018</v>
      </c>
      <c r="N117" s="2">
        <f t="shared" si="48"/>
        <v>0</v>
      </c>
      <c r="O117" s="2">
        <f t="shared" si="48"/>
        <v>0</v>
      </c>
      <c r="P117" s="2">
        <f t="shared" si="48"/>
        <v>0</v>
      </c>
      <c r="Q117" s="2">
        <f t="shared" si="48"/>
        <v>1.60036</v>
      </c>
      <c r="R117" s="2">
        <f t="shared" si="48"/>
        <v>1.60036</v>
      </c>
      <c r="S117" s="2">
        <f t="shared" si="48"/>
        <v>0.80018</v>
      </c>
      <c r="T117" s="2">
        <f t="shared" si="48"/>
        <v>1.2002699999999999</v>
      </c>
      <c r="U117" s="2">
        <f t="shared" si="48"/>
        <v>0</v>
      </c>
      <c r="V117" s="2">
        <f t="shared" si="48"/>
        <v>0</v>
      </c>
      <c r="W117" s="2">
        <f t="shared" si="48"/>
        <v>0.80018</v>
      </c>
      <c r="X117" s="2">
        <f t="shared" si="48"/>
        <v>0.80018</v>
      </c>
      <c r="Y117" s="2">
        <f t="shared" si="48"/>
        <v>2.4005399999999999</v>
      </c>
      <c r="Z117" s="2">
        <f t="shared" si="48"/>
        <v>0.80018</v>
      </c>
      <c r="AA117" s="2">
        <f t="shared" si="48"/>
        <v>0.80018</v>
      </c>
      <c r="AB117" s="2">
        <f t="shared" si="48"/>
        <v>0</v>
      </c>
      <c r="AC117" s="2">
        <f t="shared" si="48"/>
        <v>0.80018</v>
      </c>
      <c r="AD117" s="2">
        <f t="shared" si="48"/>
        <v>0.80018</v>
      </c>
      <c r="AE117" s="2">
        <f t="shared" si="48"/>
        <v>2.4005399999999999</v>
      </c>
      <c r="AF117" s="2">
        <f t="shared" si="48"/>
        <v>0</v>
      </c>
      <c r="AG117" s="2">
        <f t="shared" si="48"/>
        <v>0</v>
      </c>
      <c r="AH117" s="2">
        <f t="shared" si="48"/>
        <v>0</v>
      </c>
      <c r="AI117" s="2">
        <f t="shared" si="48"/>
        <v>0.80018</v>
      </c>
      <c r="AJ117" s="2">
        <f t="shared" si="48"/>
        <v>0</v>
      </c>
      <c r="AK117" s="2">
        <f t="shared" si="48"/>
        <v>0</v>
      </c>
      <c r="AL117" s="2">
        <f t="shared" si="48"/>
        <v>0</v>
      </c>
      <c r="AM117" s="2">
        <f t="shared" si="48"/>
        <v>0</v>
      </c>
      <c r="AN117" s="2">
        <f t="shared" si="48"/>
        <v>0</v>
      </c>
      <c r="AO117" s="2">
        <f t="shared" si="48"/>
        <v>0</v>
      </c>
      <c r="AP117" s="2">
        <f t="shared" si="48"/>
        <v>0</v>
      </c>
      <c r="AQ117" s="2">
        <f t="shared" ref="AQ117:AS117" si="49">AQ10/100*$B117</f>
        <v>0</v>
      </c>
      <c r="AR117" s="2">
        <f t="shared" si="49"/>
        <v>0.40009</v>
      </c>
      <c r="AS117" s="2">
        <f t="shared" si="49"/>
        <v>0</v>
      </c>
    </row>
    <row r="118" spans="1:45" hidden="1" x14ac:dyDescent="0.25">
      <c r="A118" s="2" t="s">
        <v>73</v>
      </c>
      <c r="B118" s="2">
        <v>4008.7</v>
      </c>
      <c r="C118" s="2">
        <f t="shared" ref="C118:AS122" si="50">C11/100*$B118</f>
        <v>1.2026099999999997</v>
      </c>
      <c r="D118" s="2">
        <f t="shared" si="50"/>
        <v>0</v>
      </c>
      <c r="E118" s="2">
        <f t="shared" si="50"/>
        <v>0</v>
      </c>
      <c r="F118" s="2">
        <f t="shared" si="50"/>
        <v>0</v>
      </c>
      <c r="G118" s="2">
        <f t="shared" si="50"/>
        <v>0</v>
      </c>
      <c r="H118" s="2">
        <f t="shared" si="50"/>
        <v>0</v>
      </c>
      <c r="I118" s="2">
        <f t="shared" si="50"/>
        <v>0.40087</v>
      </c>
      <c r="J118" s="2">
        <f t="shared" si="50"/>
        <v>0.40087</v>
      </c>
      <c r="K118" s="2">
        <f t="shared" si="50"/>
        <v>0.80174000000000001</v>
      </c>
      <c r="L118" s="2">
        <f t="shared" si="50"/>
        <v>0</v>
      </c>
      <c r="M118" s="2">
        <f t="shared" si="50"/>
        <v>0.40087</v>
      </c>
      <c r="N118" s="2">
        <f t="shared" si="50"/>
        <v>0</v>
      </c>
      <c r="O118" s="2">
        <f t="shared" si="50"/>
        <v>0</v>
      </c>
      <c r="P118" s="2">
        <f t="shared" si="50"/>
        <v>0</v>
      </c>
      <c r="Q118" s="2">
        <f t="shared" si="50"/>
        <v>0.80174000000000001</v>
      </c>
      <c r="R118" s="2">
        <f t="shared" si="50"/>
        <v>0.80174000000000001</v>
      </c>
      <c r="S118" s="2">
        <f t="shared" si="50"/>
        <v>0</v>
      </c>
      <c r="T118" s="2">
        <f t="shared" si="50"/>
        <v>0</v>
      </c>
      <c r="U118" s="2">
        <f t="shared" si="50"/>
        <v>0</v>
      </c>
      <c r="V118" s="2">
        <f t="shared" si="50"/>
        <v>0</v>
      </c>
      <c r="W118" s="2">
        <f t="shared" si="50"/>
        <v>0</v>
      </c>
      <c r="X118" s="2">
        <f t="shared" si="50"/>
        <v>0</v>
      </c>
      <c r="Y118" s="2">
        <f t="shared" si="50"/>
        <v>0.40087</v>
      </c>
      <c r="Z118" s="2">
        <f t="shared" si="50"/>
        <v>0</v>
      </c>
      <c r="AA118" s="2">
        <f t="shared" si="50"/>
        <v>0.40087</v>
      </c>
      <c r="AB118" s="2">
        <f t="shared" si="50"/>
        <v>0.40087</v>
      </c>
      <c r="AC118" s="2">
        <f t="shared" si="50"/>
        <v>0</v>
      </c>
      <c r="AD118" s="2">
        <f t="shared" si="50"/>
        <v>0</v>
      </c>
      <c r="AE118" s="2">
        <f t="shared" si="50"/>
        <v>0.80174000000000001</v>
      </c>
      <c r="AF118" s="2">
        <f t="shared" si="50"/>
        <v>0</v>
      </c>
      <c r="AG118" s="2">
        <f t="shared" si="50"/>
        <v>0</v>
      </c>
      <c r="AH118" s="2">
        <f t="shared" si="50"/>
        <v>0</v>
      </c>
      <c r="AI118" s="2">
        <f t="shared" si="50"/>
        <v>0</v>
      </c>
      <c r="AJ118" s="2">
        <f t="shared" si="50"/>
        <v>0</v>
      </c>
      <c r="AK118" s="2">
        <f t="shared" si="50"/>
        <v>0</v>
      </c>
      <c r="AL118" s="2">
        <f t="shared" si="50"/>
        <v>0</v>
      </c>
      <c r="AM118" s="2">
        <f t="shared" si="50"/>
        <v>0</v>
      </c>
      <c r="AN118" s="2">
        <f t="shared" si="50"/>
        <v>0</v>
      </c>
      <c r="AO118" s="2">
        <f t="shared" si="50"/>
        <v>0</v>
      </c>
      <c r="AP118" s="2">
        <f t="shared" si="50"/>
        <v>0</v>
      </c>
      <c r="AQ118" s="2">
        <f t="shared" si="50"/>
        <v>0</v>
      </c>
      <c r="AR118" s="2">
        <f t="shared" si="50"/>
        <v>0</v>
      </c>
      <c r="AS118" s="2">
        <f t="shared" si="50"/>
        <v>0</v>
      </c>
    </row>
    <row r="119" spans="1:45" hidden="1" x14ac:dyDescent="0.25">
      <c r="A119" s="2" t="s">
        <v>74</v>
      </c>
      <c r="B119" s="2">
        <v>4755.8999999999996</v>
      </c>
      <c r="C119" s="2">
        <f t="shared" si="50"/>
        <v>0</v>
      </c>
      <c r="D119" s="2">
        <f t="shared" si="50"/>
        <v>0</v>
      </c>
      <c r="E119" s="2">
        <f t="shared" si="50"/>
        <v>0</v>
      </c>
      <c r="F119" s="2">
        <f t="shared" si="50"/>
        <v>0</v>
      </c>
      <c r="G119" s="2">
        <f t="shared" si="50"/>
        <v>0</v>
      </c>
      <c r="H119" s="2">
        <f t="shared" si="50"/>
        <v>0</v>
      </c>
      <c r="I119" s="2">
        <f t="shared" si="50"/>
        <v>0</v>
      </c>
      <c r="J119" s="2">
        <f t="shared" si="50"/>
        <v>0</v>
      </c>
      <c r="K119" s="2">
        <f t="shared" si="50"/>
        <v>0</v>
      </c>
      <c r="L119" s="2">
        <f t="shared" si="50"/>
        <v>0</v>
      </c>
      <c r="M119" s="2">
        <f t="shared" si="50"/>
        <v>0</v>
      </c>
      <c r="N119" s="2">
        <f t="shared" si="50"/>
        <v>0</v>
      </c>
      <c r="O119" s="2">
        <f t="shared" si="50"/>
        <v>0</v>
      </c>
      <c r="P119" s="2">
        <f t="shared" si="50"/>
        <v>0</v>
      </c>
      <c r="Q119" s="2">
        <f t="shared" si="50"/>
        <v>0</v>
      </c>
      <c r="R119" s="2">
        <f t="shared" si="50"/>
        <v>0.47559000000000001</v>
      </c>
      <c r="S119" s="2">
        <f t="shared" si="50"/>
        <v>0</v>
      </c>
      <c r="T119" s="2">
        <f t="shared" si="50"/>
        <v>0</v>
      </c>
      <c r="U119" s="2">
        <f t="shared" si="50"/>
        <v>0</v>
      </c>
      <c r="V119" s="2">
        <f t="shared" si="50"/>
        <v>0</v>
      </c>
      <c r="W119" s="2">
        <f t="shared" si="50"/>
        <v>0</v>
      </c>
      <c r="X119" s="2">
        <f t="shared" si="50"/>
        <v>0</v>
      </c>
      <c r="Y119" s="2">
        <f t="shared" si="50"/>
        <v>0</v>
      </c>
      <c r="Z119" s="2">
        <f t="shared" si="50"/>
        <v>0</v>
      </c>
      <c r="AA119" s="2">
        <f t="shared" si="50"/>
        <v>0</v>
      </c>
      <c r="AB119" s="2">
        <f t="shared" si="50"/>
        <v>0</v>
      </c>
      <c r="AC119" s="2">
        <f t="shared" si="50"/>
        <v>0</v>
      </c>
      <c r="AD119" s="2">
        <f t="shared" si="50"/>
        <v>0</v>
      </c>
      <c r="AE119" s="2">
        <f t="shared" si="50"/>
        <v>0</v>
      </c>
      <c r="AF119" s="2">
        <f t="shared" si="50"/>
        <v>0</v>
      </c>
      <c r="AG119" s="2">
        <f t="shared" si="50"/>
        <v>0</v>
      </c>
      <c r="AH119" s="2">
        <f t="shared" si="50"/>
        <v>0</v>
      </c>
      <c r="AI119" s="2">
        <f t="shared" si="50"/>
        <v>0</v>
      </c>
      <c r="AJ119" s="2">
        <f t="shared" si="50"/>
        <v>0</v>
      </c>
      <c r="AK119" s="2">
        <f t="shared" si="50"/>
        <v>0</v>
      </c>
      <c r="AL119" s="2">
        <f t="shared" si="50"/>
        <v>0</v>
      </c>
      <c r="AM119" s="2">
        <f t="shared" si="50"/>
        <v>0</v>
      </c>
      <c r="AN119" s="2">
        <f t="shared" si="50"/>
        <v>0</v>
      </c>
      <c r="AO119" s="2">
        <f t="shared" si="50"/>
        <v>0</v>
      </c>
      <c r="AP119" s="2">
        <f t="shared" si="50"/>
        <v>0</v>
      </c>
      <c r="AQ119" s="2">
        <f t="shared" si="50"/>
        <v>0</v>
      </c>
      <c r="AR119" s="2">
        <f t="shared" si="50"/>
        <v>0</v>
      </c>
      <c r="AS119" s="2">
        <f t="shared" si="50"/>
        <v>0</v>
      </c>
    </row>
    <row r="120" spans="1:45" hidden="1" x14ac:dyDescent="0.25">
      <c r="A120" s="2" t="s">
        <v>75</v>
      </c>
      <c r="B120" s="2">
        <v>0</v>
      </c>
      <c r="C120" s="2">
        <f t="shared" si="50"/>
        <v>0</v>
      </c>
      <c r="D120" s="2">
        <f t="shared" si="50"/>
        <v>0</v>
      </c>
      <c r="E120" s="2">
        <f t="shared" si="50"/>
        <v>0</v>
      </c>
      <c r="F120" s="2">
        <f t="shared" si="50"/>
        <v>0</v>
      </c>
      <c r="G120" s="2">
        <f t="shared" si="50"/>
        <v>0</v>
      </c>
      <c r="H120" s="2">
        <f t="shared" si="50"/>
        <v>0</v>
      </c>
      <c r="I120" s="2">
        <f t="shared" si="50"/>
        <v>0</v>
      </c>
      <c r="J120" s="2">
        <f t="shared" si="50"/>
        <v>0</v>
      </c>
      <c r="K120" s="2">
        <f t="shared" si="50"/>
        <v>0</v>
      </c>
      <c r="L120" s="2">
        <f t="shared" si="50"/>
        <v>0</v>
      </c>
      <c r="M120" s="2">
        <f t="shared" si="50"/>
        <v>0</v>
      </c>
      <c r="N120" s="2">
        <f t="shared" si="50"/>
        <v>0</v>
      </c>
      <c r="O120" s="2">
        <f t="shared" si="50"/>
        <v>0</v>
      </c>
      <c r="P120" s="2">
        <f t="shared" si="50"/>
        <v>0</v>
      </c>
      <c r="Q120" s="2">
        <f t="shared" si="50"/>
        <v>0</v>
      </c>
      <c r="R120" s="2">
        <f t="shared" si="50"/>
        <v>0</v>
      </c>
      <c r="S120" s="2">
        <f t="shared" si="50"/>
        <v>0</v>
      </c>
      <c r="T120" s="2">
        <f t="shared" si="50"/>
        <v>0</v>
      </c>
      <c r="U120" s="2">
        <f t="shared" si="50"/>
        <v>0</v>
      </c>
      <c r="V120" s="2">
        <f t="shared" si="50"/>
        <v>0</v>
      </c>
      <c r="W120" s="2">
        <f t="shared" si="50"/>
        <v>0</v>
      </c>
      <c r="X120" s="2">
        <f t="shared" si="50"/>
        <v>0</v>
      </c>
      <c r="Y120" s="2">
        <f t="shared" si="50"/>
        <v>0</v>
      </c>
      <c r="Z120" s="2">
        <f t="shared" si="50"/>
        <v>0</v>
      </c>
      <c r="AA120" s="2">
        <f t="shared" si="50"/>
        <v>0</v>
      </c>
      <c r="AB120" s="2">
        <f t="shared" si="50"/>
        <v>0</v>
      </c>
      <c r="AC120" s="2">
        <f t="shared" si="50"/>
        <v>0</v>
      </c>
      <c r="AD120" s="2">
        <f t="shared" si="50"/>
        <v>0</v>
      </c>
      <c r="AE120" s="2">
        <f t="shared" si="50"/>
        <v>0</v>
      </c>
      <c r="AF120" s="2">
        <f t="shared" si="50"/>
        <v>0</v>
      </c>
      <c r="AG120" s="2">
        <f t="shared" si="50"/>
        <v>0</v>
      </c>
      <c r="AH120" s="2">
        <f t="shared" si="50"/>
        <v>0</v>
      </c>
      <c r="AI120" s="2">
        <f t="shared" si="50"/>
        <v>0</v>
      </c>
      <c r="AJ120" s="2">
        <f t="shared" si="50"/>
        <v>0</v>
      </c>
      <c r="AK120" s="2">
        <f t="shared" si="50"/>
        <v>0</v>
      </c>
      <c r="AL120" s="2">
        <f t="shared" si="50"/>
        <v>0</v>
      </c>
      <c r="AM120" s="2">
        <f t="shared" si="50"/>
        <v>0</v>
      </c>
      <c r="AN120" s="2">
        <f t="shared" si="50"/>
        <v>0</v>
      </c>
      <c r="AO120" s="2">
        <f t="shared" si="50"/>
        <v>0</v>
      </c>
      <c r="AP120" s="2">
        <f t="shared" si="50"/>
        <v>0</v>
      </c>
      <c r="AQ120" s="2">
        <f t="shared" si="50"/>
        <v>0</v>
      </c>
      <c r="AR120" s="2">
        <f t="shared" si="50"/>
        <v>0</v>
      </c>
      <c r="AS120" s="2">
        <f t="shared" si="50"/>
        <v>0</v>
      </c>
    </row>
    <row r="121" spans="1:45" hidden="1" x14ac:dyDescent="0.25">
      <c r="A121" s="2" t="s">
        <v>76</v>
      </c>
      <c r="B121" s="2">
        <v>0</v>
      </c>
      <c r="C121" s="2">
        <f t="shared" si="50"/>
        <v>0</v>
      </c>
      <c r="D121" s="2">
        <f t="shared" si="50"/>
        <v>0</v>
      </c>
      <c r="E121" s="2">
        <f t="shared" si="50"/>
        <v>0</v>
      </c>
      <c r="F121" s="2">
        <f t="shared" si="50"/>
        <v>0</v>
      </c>
      <c r="G121" s="2">
        <f t="shared" si="50"/>
        <v>0</v>
      </c>
      <c r="H121" s="2">
        <f t="shared" si="50"/>
        <v>0</v>
      </c>
      <c r="I121" s="2">
        <f t="shared" si="50"/>
        <v>0</v>
      </c>
      <c r="J121" s="2">
        <f t="shared" si="50"/>
        <v>0</v>
      </c>
      <c r="K121" s="2">
        <f t="shared" si="50"/>
        <v>0</v>
      </c>
      <c r="L121" s="2">
        <f t="shared" si="50"/>
        <v>0</v>
      </c>
      <c r="M121" s="2">
        <f t="shared" si="50"/>
        <v>0</v>
      </c>
      <c r="N121" s="2">
        <f t="shared" si="50"/>
        <v>0</v>
      </c>
      <c r="O121" s="2">
        <f t="shared" si="50"/>
        <v>0</v>
      </c>
      <c r="P121" s="2">
        <f t="shared" si="50"/>
        <v>0</v>
      </c>
      <c r="Q121" s="2">
        <f t="shared" si="50"/>
        <v>0</v>
      </c>
      <c r="R121" s="2">
        <f t="shared" si="50"/>
        <v>0</v>
      </c>
      <c r="S121" s="2">
        <f t="shared" si="50"/>
        <v>0</v>
      </c>
      <c r="T121" s="2">
        <f t="shared" si="50"/>
        <v>0</v>
      </c>
      <c r="U121" s="2">
        <f t="shared" si="50"/>
        <v>0</v>
      </c>
      <c r="V121" s="2">
        <f t="shared" si="50"/>
        <v>0</v>
      </c>
      <c r="W121" s="2">
        <f t="shared" si="50"/>
        <v>0</v>
      </c>
      <c r="X121" s="2">
        <f t="shared" si="50"/>
        <v>0</v>
      </c>
      <c r="Y121" s="2">
        <f t="shared" si="50"/>
        <v>0</v>
      </c>
      <c r="Z121" s="2">
        <f t="shared" si="50"/>
        <v>0</v>
      </c>
      <c r="AA121" s="2">
        <f t="shared" si="50"/>
        <v>0</v>
      </c>
      <c r="AB121" s="2">
        <f t="shared" si="50"/>
        <v>0</v>
      </c>
      <c r="AC121" s="2">
        <f t="shared" si="50"/>
        <v>0</v>
      </c>
      <c r="AD121" s="2">
        <f t="shared" si="50"/>
        <v>0</v>
      </c>
      <c r="AE121" s="2">
        <f t="shared" si="50"/>
        <v>0</v>
      </c>
      <c r="AF121" s="2">
        <f t="shared" si="50"/>
        <v>0</v>
      </c>
      <c r="AG121" s="2">
        <f t="shared" si="50"/>
        <v>0</v>
      </c>
      <c r="AH121" s="2">
        <f t="shared" si="50"/>
        <v>0</v>
      </c>
      <c r="AI121" s="2">
        <f t="shared" si="50"/>
        <v>0</v>
      </c>
      <c r="AJ121" s="2">
        <f t="shared" si="50"/>
        <v>0</v>
      </c>
      <c r="AK121" s="2">
        <f t="shared" si="50"/>
        <v>0</v>
      </c>
      <c r="AL121" s="2">
        <f t="shared" si="50"/>
        <v>0</v>
      </c>
      <c r="AM121" s="2">
        <f t="shared" si="50"/>
        <v>0</v>
      </c>
      <c r="AN121" s="2">
        <f t="shared" si="50"/>
        <v>0</v>
      </c>
      <c r="AO121" s="2">
        <f t="shared" si="50"/>
        <v>0</v>
      </c>
      <c r="AP121" s="2">
        <f t="shared" si="50"/>
        <v>0</v>
      </c>
      <c r="AQ121" s="2">
        <f t="shared" si="50"/>
        <v>0</v>
      </c>
      <c r="AR121" s="2">
        <f t="shared" si="50"/>
        <v>0</v>
      </c>
      <c r="AS121" s="2">
        <f t="shared" si="50"/>
        <v>0</v>
      </c>
    </row>
    <row r="122" spans="1:45" hidden="1" x14ac:dyDescent="0.25">
      <c r="A122" s="2" t="s">
        <v>77</v>
      </c>
      <c r="B122" s="2">
        <v>0</v>
      </c>
      <c r="C122" s="2">
        <f t="shared" si="50"/>
        <v>0</v>
      </c>
      <c r="D122" s="2">
        <f t="shared" si="50"/>
        <v>0</v>
      </c>
      <c r="E122" s="2">
        <f t="shared" si="50"/>
        <v>0</v>
      </c>
      <c r="F122" s="2">
        <f t="shared" si="50"/>
        <v>0</v>
      </c>
      <c r="G122" s="2">
        <f t="shared" si="50"/>
        <v>0</v>
      </c>
      <c r="H122" s="2">
        <f t="shared" si="50"/>
        <v>0</v>
      </c>
      <c r="I122" s="2">
        <f t="shared" si="50"/>
        <v>0</v>
      </c>
      <c r="J122" s="2">
        <f t="shared" si="50"/>
        <v>0</v>
      </c>
      <c r="K122" s="2">
        <f t="shared" si="50"/>
        <v>0</v>
      </c>
      <c r="L122" s="2">
        <f t="shared" si="50"/>
        <v>0</v>
      </c>
      <c r="M122" s="2">
        <f t="shared" si="50"/>
        <v>0</v>
      </c>
      <c r="N122" s="2">
        <f t="shared" si="50"/>
        <v>0</v>
      </c>
      <c r="O122" s="2">
        <f t="shared" si="50"/>
        <v>0</v>
      </c>
      <c r="P122" s="2">
        <f t="shared" si="50"/>
        <v>0</v>
      </c>
      <c r="Q122" s="2">
        <f t="shared" si="50"/>
        <v>0</v>
      </c>
      <c r="R122" s="2">
        <f t="shared" si="50"/>
        <v>0</v>
      </c>
      <c r="S122" s="2">
        <f t="shared" si="50"/>
        <v>0</v>
      </c>
      <c r="T122" s="2">
        <f t="shared" si="50"/>
        <v>0</v>
      </c>
      <c r="U122" s="2">
        <f t="shared" si="50"/>
        <v>0</v>
      </c>
      <c r="V122" s="2">
        <f t="shared" si="50"/>
        <v>0</v>
      </c>
      <c r="W122" s="2">
        <f t="shared" si="50"/>
        <v>0</v>
      </c>
      <c r="X122" s="2">
        <f t="shared" si="50"/>
        <v>0</v>
      </c>
      <c r="Y122" s="2">
        <f t="shared" si="50"/>
        <v>0</v>
      </c>
      <c r="Z122" s="2">
        <f t="shared" si="50"/>
        <v>0</v>
      </c>
      <c r="AA122" s="2">
        <f t="shared" si="50"/>
        <v>0</v>
      </c>
      <c r="AB122" s="2">
        <f t="shared" si="50"/>
        <v>0</v>
      </c>
      <c r="AC122" s="2">
        <f t="shared" si="50"/>
        <v>0</v>
      </c>
      <c r="AD122" s="2">
        <f t="shared" si="50"/>
        <v>0</v>
      </c>
      <c r="AE122" s="2">
        <f t="shared" si="50"/>
        <v>0</v>
      </c>
      <c r="AF122" s="2">
        <f t="shared" si="50"/>
        <v>0</v>
      </c>
      <c r="AG122" s="2">
        <f t="shared" si="50"/>
        <v>0</v>
      </c>
      <c r="AH122" s="2">
        <f t="shared" si="50"/>
        <v>0</v>
      </c>
      <c r="AI122" s="2">
        <f t="shared" si="50"/>
        <v>0</v>
      </c>
      <c r="AJ122" s="2">
        <f t="shared" si="50"/>
        <v>0</v>
      </c>
      <c r="AK122" s="2">
        <f t="shared" si="50"/>
        <v>0</v>
      </c>
      <c r="AL122" s="2">
        <f t="shared" si="50"/>
        <v>0</v>
      </c>
      <c r="AM122" s="2">
        <f t="shared" si="50"/>
        <v>0</v>
      </c>
      <c r="AN122" s="2">
        <f t="shared" si="50"/>
        <v>0</v>
      </c>
      <c r="AO122" s="2">
        <f t="shared" si="50"/>
        <v>0</v>
      </c>
      <c r="AP122" s="2">
        <f t="shared" si="50"/>
        <v>0</v>
      </c>
      <c r="AQ122" s="2">
        <f t="shared" si="50"/>
        <v>0</v>
      </c>
      <c r="AR122" s="2">
        <f t="shared" si="50"/>
        <v>0</v>
      </c>
      <c r="AS122" s="2">
        <f t="shared" si="50"/>
        <v>0</v>
      </c>
    </row>
    <row r="123" spans="1:45" hidden="1" x14ac:dyDescent="0.25">
      <c r="A123" s="2" t="s">
        <v>78</v>
      </c>
      <c r="C123" s="2">
        <f>SUM(C112:C122)</f>
        <v>1094.9252300000001</v>
      </c>
      <c r="D123" s="2">
        <f t="shared" ref="D123:AS123" si="51">SUM(D112:D122)</f>
        <v>1101.9495399999998</v>
      </c>
      <c r="E123" s="2">
        <f>SUM(E112:E122)</f>
        <v>1070.8307799999998</v>
      </c>
      <c r="F123" s="2">
        <f>SUM(F112:F122)</f>
        <v>1067.2647000000002</v>
      </c>
      <c r="G123" s="2">
        <f t="shared" si="51"/>
        <v>1073.11421</v>
      </c>
      <c r="H123" s="2">
        <f>SUM(H112:H122)</f>
        <v>1091.30295</v>
      </c>
      <c r="I123" s="2">
        <f>SUM(I112:I122)</f>
        <v>1061.5425299999997</v>
      </c>
      <c r="J123" s="2">
        <f>SUM(J112:J122)</f>
        <v>1130.8339699999999</v>
      </c>
      <c r="K123" s="2">
        <f t="shared" si="51"/>
        <v>1087.76088</v>
      </c>
      <c r="L123" s="2">
        <f>SUM(L112:L122)</f>
        <v>1129.74305</v>
      </c>
      <c r="M123" s="2">
        <f>SUM(M112:M122)</f>
        <v>1117.8841399999997</v>
      </c>
      <c r="N123" s="2">
        <f t="shared" si="51"/>
        <v>1009.2934300000001</v>
      </c>
      <c r="O123" s="2">
        <f t="shared" si="51"/>
        <v>1008.51091</v>
      </c>
      <c r="P123" s="2">
        <f t="shared" si="51"/>
        <v>1009.16785</v>
      </c>
      <c r="Q123" s="2">
        <f t="shared" si="51"/>
        <v>1107.77197</v>
      </c>
      <c r="R123" s="2">
        <f>SUM(R112:R122)</f>
        <v>1086.7968700000004</v>
      </c>
      <c r="S123" s="2">
        <f>SUM(S112:S122)</f>
        <v>1033.4143899999997</v>
      </c>
      <c r="T123" s="2">
        <f t="shared" si="51"/>
        <v>1039.36094</v>
      </c>
      <c r="U123" s="2">
        <f t="shared" si="51"/>
        <v>1060.6363199999998</v>
      </c>
      <c r="V123" s="2">
        <f>SUM(V112:V122)</f>
        <v>1094.2633399999997</v>
      </c>
      <c r="W123" s="2">
        <f t="shared" si="51"/>
        <v>1088.1161599999998</v>
      </c>
      <c r="X123" s="2">
        <f t="shared" si="51"/>
        <v>1036.5888299999999</v>
      </c>
      <c r="Y123" s="2">
        <f t="shared" si="51"/>
        <v>1095.6760299999999</v>
      </c>
      <c r="Z123" s="2">
        <f t="shared" si="51"/>
        <v>1098.1026399999998</v>
      </c>
      <c r="AA123" s="2">
        <f>SUM(AA112:AA122)</f>
        <v>1121.0132199999998</v>
      </c>
      <c r="AB123" s="2">
        <f t="shared" si="51"/>
        <v>1091.81116</v>
      </c>
      <c r="AC123" s="2">
        <f t="shared" si="51"/>
        <v>1073.1100500000002</v>
      </c>
      <c r="AD123" s="2">
        <f t="shared" si="51"/>
        <v>1110.6814399999998</v>
      </c>
      <c r="AE123" s="2">
        <f t="shared" si="51"/>
        <v>1137.1372200000003</v>
      </c>
      <c r="AF123" s="2">
        <f t="shared" si="51"/>
        <v>1074.0246200000001</v>
      </c>
      <c r="AG123" s="2">
        <f t="shared" si="51"/>
        <v>1106.5909899999999</v>
      </c>
      <c r="AH123" s="2">
        <f t="shared" si="51"/>
        <v>1054.1942999999999</v>
      </c>
      <c r="AI123" s="2">
        <f t="shared" si="51"/>
        <v>1095.54946</v>
      </c>
      <c r="AJ123" s="2">
        <f>SUM(AJ112:AJ122)</f>
        <v>1059.1042299999999</v>
      </c>
      <c r="AK123" s="2">
        <f t="shared" si="51"/>
        <v>1026.9384900000002</v>
      </c>
      <c r="AL123" s="2">
        <f>SUM(AL112:AL122)</f>
        <v>1120.68226</v>
      </c>
      <c r="AM123" s="2">
        <f t="shared" si="51"/>
        <v>1009.0413699999999</v>
      </c>
      <c r="AN123" s="2">
        <f>SUM(AN112:AN122)</f>
        <v>0</v>
      </c>
      <c r="AO123" s="2">
        <f>SUM(AO112:AO122)</f>
        <v>1030.01045</v>
      </c>
      <c r="AP123" s="2">
        <f>SUM(AP112:AP122)</f>
        <v>1055.0993599999999</v>
      </c>
      <c r="AQ123" s="2">
        <f>SUM(AQ112:AQ122)</f>
        <v>0</v>
      </c>
      <c r="AR123" s="2">
        <f>SUM(AR112:AR122)</f>
        <v>1043.8337900000001</v>
      </c>
      <c r="AS123" s="2">
        <f t="shared" si="51"/>
        <v>1068.7506800000001</v>
      </c>
    </row>
    <row r="124" spans="1:45" hidden="1" x14ac:dyDescent="0.25"/>
    <row r="125" spans="1:45" hidden="1" x14ac:dyDescent="0.25">
      <c r="A125" s="40" t="s">
        <v>89</v>
      </c>
    </row>
    <row r="126" spans="1:45" hidden="1" x14ac:dyDescent="0.25">
      <c r="A126" s="2" t="s">
        <v>67</v>
      </c>
      <c r="B126" s="2">
        <v>909.4</v>
      </c>
      <c r="C126" s="2">
        <f t="shared" ref="C126:AS131" si="52">C5/100*$B126</f>
        <v>815.36803999999995</v>
      </c>
      <c r="D126" s="2">
        <f t="shared" si="52"/>
        <v>806.63779999999997</v>
      </c>
      <c r="E126" s="2">
        <f t="shared" si="52"/>
        <v>830.28219999999988</v>
      </c>
      <c r="F126" s="2">
        <f t="shared" si="52"/>
        <v>833.73792000000003</v>
      </c>
      <c r="G126" s="2">
        <f t="shared" si="52"/>
        <v>833.82885999999996</v>
      </c>
      <c r="H126" s="2">
        <f t="shared" si="52"/>
        <v>839.92183999999997</v>
      </c>
      <c r="I126" s="2">
        <f t="shared" si="52"/>
        <v>860.11051999999995</v>
      </c>
      <c r="J126" s="2">
        <f t="shared" si="52"/>
        <v>805.72839999999985</v>
      </c>
      <c r="K126" s="2">
        <f t="shared" si="52"/>
        <v>841.74063999999998</v>
      </c>
      <c r="L126" s="2">
        <f t="shared" si="52"/>
        <v>777.80982000000006</v>
      </c>
      <c r="M126" s="2">
        <f t="shared" si="52"/>
        <v>801.72703999999987</v>
      </c>
      <c r="N126" s="2">
        <f t="shared" si="52"/>
        <v>907.58119999999997</v>
      </c>
      <c r="O126" s="2">
        <f t="shared" si="52"/>
        <v>907.58119999999997</v>
      </c>
      <c r="P126" s="2">
        <f t="shared" si="52"/>
        <v>907.85401999999999</v>
      </c>
      <c r="Q126" s="2">
        <f t="shared" si="52"/>
        <v>835.19295999999997</v>
      </c>
      <c r="R126" s="2">
        <f t="shared" si="52"/>
        <v>844.55978000000005</v>
      </c>
      <c r="S126" s="2">
        <f t="shared" si="52"/>
        <v>884.3005599999999</v>
      </c>
      <c r="T126" s="2">
        <f t="shared" si="52"/>
        <v>883.66398000000004</v>
      </c>
      <c r="U126" s="2">
        <f t="shared" si="52"/>
        <v>849.28865999999994</v>
      </c>
      <c r="V126" s="2">
        <f t="shared" si="52"/>
        <v>835.37483999999995</v>
      </c>
      <c r="W126" s="2">
        <f t="shared" si="52"/>
        <v>853.01719999999989</v>
      </c>
      <c r="X126" s="2">
        <f t="shared" si="52"/>
        <v>879.38980000000004</v>
      </c>
      <c r="Y126" s="2">
        <f t="shared" si="52"/>
        <v>840.83123999999998</v>
      </c>
      <c r="Z126" s="2">
        <f t="shared" si="52"/>
        <v>839.46713999999997</v>
      </c>
      <c r="AA126" s="2">
        <f t="shared" si="52"/>
        <v>821.27913999999998</v>
      </c>
      <c r="AB126" s="2">
        <f t="shared" si="52"/>
        <v>839.64901999999995</v>
      </c>
      <c r="AC126" s="2">
        <f t="shared" si="52"/>
        <v>836.46612000000005</v>
      </c>
      <c r="AD126" s="2">
        <f t="shared" si="52"/>
        <v>825.18955999999991</v>
      </c>
      <c r="AE126" s="2">
        <f t="shared" si="52"/>
        <v>797.63474000000008</v>
      </c>
      <c r="AF126" s="2">
        <f t="shared" si="52"/>
        <v>818.82376000000011</v>
      </c>
      <c r="AG126" s="2">
        <f t="shared" si="52"/>
        <v>819.0965799999999</v>
      </c>
      <c r="AH126" s="2">
        <f t="shared" si="52"/>
        <v>848.47019999999998</v>
      </c>
      <c r="AI126" s="2">
        <f t="shared" si="52"/>
        <v>840.92217999999991</v>
      </c>
      <c r="AJ126" s="2">
        <f t="shared" si="52"/>
        <v>861.92931999999996</v>
      </c>
      <c r="AK126" s="2">
        <f t="shared" si="52"/>
        <v>892.30328000000009</v>
      </c>
      <c r="AL126" s="2">
        <f t="shared" si="52"/>
        <v>789.26825999999983</v>
      </c>
      <c r="AM126" s="2">
        <f t="shared" si="52"/>
        <v>907.03555999999992</v>
      </c>
      <c r="AN126" s="2">
        <f t="shared" si="52"/>
        <v>0</v>
      </c>
      <c r="AO126" s="2">
        <f t="shared" si="52"/>
        <v>885.39184</v>
      </c>
      <c r="AP126" s="2">
        <f t="shared" si="52"/>
        <v>854.8359999999999</v>
      </c>
      <c r="AQ126" s="2">
        <f t="shared" si="52"/>
        <v>0</v>
      </c>
      <c r="AR126" s="2">
        <f t="shared" si="52"/>
        <v>870.75049999999999</v>
      </c>
      <c r="AS126" s="2">
        <f t="shared" si="52"/>
        <v>846.74234000000001</v>
      </c>
    </row>
    <row r="127" spans="1:45" hidden="1" x14ac:dyDescent="0.25">
      <c r="A127" s="2" t="s">
        <v>68</v>
      </c>
      <c r="B127" s="2">
        <v>1619</v>
      </c>
      <c r="C127" s="2">
        <f t="shared" si="52"/>
        <v>137.2912</v>
      </c>
      <c r="D127" s="2">
        <f t="shared" si="52"/>
        <v>135.02459999999999</v>
      </c>
      <c r="E127" s="2">
        <f t="shared" si="52"/>
        <v>116.7299</v>
      </c>
      <c r="F127" s="2">
        <f t="shared" si="52"/>
        <v>129.0343</v>
      </c>
      <c r="G127" s="2">
        <f t="shared" si="52"/>
        <v>131.30089999999998</v>
      </c>
      <c r="H127" s="2">
        <f t="shared" si="52"/>
        <v>79.007199999999997</v>
      </c>
      <c r="I127" s="2">
        <f t="shared" si="52"/>
        <v>62.0077</v>
      </c>
      <c r="J127" s="2">
        <f t="shared" si="52"/>
        <v>123.3678</v>
      </c>
      <c r="K127" s="2">
        <f t="shared" si="52"/>
        <v>76.093000000000004</v>
      </c>
      <c r="L127" s="2">
        <f t="shared" si="52"/>
        <v>207.5558</v>
      </c>
      <c r="M127" s="2">
        <f t="shared" si="52"/>
        <v>152.0241</v>
      </c>
      <c r="N127" s="2">
        <f t="shared" si="52"/>
        <v>0.97139999999999993</v>
      </c>
      <c r="O127" s="2">
        <f t="shared" si="52"/>
        <v>0.48569999999999997</v>
      </c>
      <c r="P127" s="2">
        <f t="shared" si="52"/>
        <v>0.8095</v>
      </c>
      <c r="Q127" s="2">
        <f t="shared" si="52"/>
        <v>72.531200000000013</v>
      </c>
      <c r="R127" s="2">
        <f t="shared" si="52"/>
        <v>62.8172</v>
      </c>
      <c r="S127" s="2">
        <f t="shared" si="52"/>
        <v>39.827399999999997</v>
      </c>
      <c r="T127" s="2">
        <f t="shared" si="52"/>
        <v>33.675199999999997</v>
      </c>
      <c r="U127" s="2">
        <f t="shared" si="52"/>
        <v>105.55879999999999</v>
      </c>
      <c r="V127" s="2">
        <f t="shared" si="52"/>
        <v>91.635400000000004</v>
      </c>
      <c r="W127" s="2">
        <f t="shared" si="52"/>
        <v>50.189</v>
      </c>
      <c r="X127" s="2">
        <f t="shared" si="52"/>
        <v>37.075099999999999</v>
      </c>
      <c r="Y127" s="2">
        <f t="shared" si="52"/>
        <v>65.569500000000005</v>
      </c>
      <c r="Z127" s="2">
        <f t="shared" si="52"/>
        <v>65.407600000000002</v>
      </c>
      <c r="AA127" s="2">
        <f t="shared" si="52"/>
        <v>86.616500000000002</v>
      </c>
      <c r="AB127" s="2">
        <f t="shared" si="52"/>
        <v>82.245199999999997</v>
      </c>
      <c r="AC127" s="2">
        <f t="shared" si="52"/>
        <v>90.178299999999993</v>
      </c>
      <c r="AD127" s="2">
        <f t="shared" si="52"/>
        <v>90.825900000000004</v>
      </c>
      <c r="AE127" s="2">
        <f t="shared" si="52"/>
        <v>126.6058</v>
      </c>
      <c r="AF127" s="2">
        <f t="shared" si="52"/>
        <v>148.3004</v>
      </c>
      <c r="AG127" s="2">
        <f t="shared" si="52"/>
        <v>101.1875</v>
      </c>
      <c r="AH127" s="2">
        <f t="shared" si="52"/>
        <v>101.1875</v>
      </c>
      <c r="AI127" s="2">
        <f t="shared" si="52"/>
        <v>72.369299999999996</v>
      </c>
      <c r="AJ127" s="2">
        <f t="shared" si="52"/>
        <v>57.636400000000002</v>
      </c>
      <c r="AK127" s="2">
        <f t="shared" si="52"/>
        <v>24.932600000000001</v>
      </c>
      <c r="AL127" s="2">
        <f t="shared" si="52"/>
        <v>175.01390000000001</v>
      </c>
      <c r="AM127" s="2">
        <f t="shared" si="52"/>
        <v>1.2952000000000001</v>
      </c>
      <c r="AN127" s="2">
        <f t="shared" si="52"/>
        <v>0</v>
      </c>
      <c r="AO127" s="2">
        <f t="shared" si="52"/>
        <v>39.341700000000003</v>
      </c>
      <c r="AP127" s="2">
        <f t="shared" si="52"/>
        <v>91.959199999999996</v>
      </c>
      <c r="AQ127" s="2">
        <f t="shared" si="52"/>
        <v>0</v>
      </c>
      <c r="AR127" s="2">
        <f t="shared" si="52"/>
        <v>63.464799999999997</v>
      </c>
      <c r="AS127" s="2">
        <f t="shared" si="52"/>
        <v>97.14</v>
      </c>
    </row>
    <row r="128" spans="1:45" hidden="1" x14ac:dyDescent="0.25">
      <c r="A128" s="2" t="s">
        <v>69</v>
      </c>
      <c r="B128" s="2">
        <v>2315</v>
      </c>
      <c r="C128" s="2">
        <f t="shared" si="52"/>
        <v>29.400499999999997</v>
      </c>
      <c r="D128" s="2">
        <f t="shared" si="52"/>
        <v>39.123499999999993</v>
      </c>
      <c r="E128" s="2">
        <f t="shared" si="52"/>
        <v>18.52</v>
      </c>
      <c r="F128" s="2">
        <f t="shared" si="52"/>
        <v>0.23150000000000001</v>
      </c>
      <c r="G128" s="2">
        <f t="shared" si="52"/>
        <v>3.2410000000000005</v>
      </c>
      <c r="H128" s="2">
        <f t="shared" si="52"/>
        <v>42.3645</v>
      </c>
      <c r="I128" s="2">
        <f t="shared" si="52"/>
        <v>21.297999999999998</v>
      </c>
      <c r="J128" s="2">
        <f t="shared" si="52"/>
        <v>64.819999999999993</v>
      </c>
      <c r="K128" s="2">
        <f t="shared" si="52"/>
        <v>38.660499999999999</v>
      </c>
      <c r="L128" s="2">
        <f t="shared" si="52"/>
        <v>33.798999999999999</v>
      </c>
      <c r="M128" s="2">
        <f t="shared" si="52"/>
        <v>46.300000000000004</v>
      </c>
      <c r="N128" s="2">
        <f t="shared" si="52"/>
        <v>0.23150000000000001</v>
      </c>
      <c r="O128" s="2">
        <f t="shared" si="52"/>
        <v>0</v>
      </c>
      <c r="P128" s="2">
        <f t="shared" si="52"/>
        <v>0</v>
      </c>
      <c r="Q128" s="2">
        <f t="shared" si="52"/>
        <v>55.56</v>
      </c>
      <c r="R128" s="2">
        <f t="shared" si="52"/>
        <v>53.707999999999998</v>
      </c>
      <c r="S128" s="2">
        <f t="shared" si="52"/>
        <v>3.7040000000000002</v>
      </c>
      <c r="T128" s="2">
        <f t="shared" si="52"/>
        <v>9.9544999999999995</v>
      </c>
      <c r="U128" s="2">
        <f t="shared" si="52"/>
        <v>1.8520000000000001</v>
      </c>
      <c r="V128" s="2">
        <f t="shared" si="52"/>
        <v>37.04</v>
      </c>
      <c r="W128" s="2">
        <f t="shared" si="52"/>
        <v>45.605499999999999</v>
      </c>
      <c r="X128" s="2">
        <f t="shared" si="52"/>
        <v>11.111999999999998</v>
      </c>
      <c r="Y128" s="2">
        <f t="shared" si="52"/>
        <v>45.605499999999999</v>
      </c>
      <c r="Z128" s="2">
        <f t="shared" si="52"/>
        <v>53.939500000000002</v>
      </c>
      <c r="AA128" s="2">
        <f t="shared" si="52"/>
        <v>74.311499999999995</v>
      </c>
      <c r="AB128" s="2">
        <f t="shared" si="52"/>
        <v>43.984999999999999</v>
      </c>
      <c r="AC128" s="2">
        <f t="shared" si="52"/>
        <v>29.169</v>
      </c>
      <c r="AD128" s="2">
        <f t="shared" si="52"/>
        <v>48.846499999999992</v>
      </c>
      <c r="AE128" s="2">
        <f t="shared" si="52"/>
        <v>66.4405</v>
      </c>
      <c r="AF128" s="2">
        <f t="shared" si="52"/>
        <v>2.3149999999999999</v>
      </c>
      <c r="AG128" s="2">
        <f t="shared" si="52"/>
        <v>50.004000000000005</v>
      </c>
      <c r="AH128" s="2">
        <f t="shared" si="52"/>
        <v>1.1575</v>
      </c>
      <c r="AI128" s="2">
        <f t="shared" si="52"/>
        <v>46.994499999999995</v>
      </c>
      <c r="AJ128" s="2">
        <f t="shared" si="52"/>
        <v>20.140499999999999</v>
      </c>
      <c r="AK128" s="2">
        <f t="shared" si="52"/>
        <v>6.4820000000000011</v>
      </c>
      <c r="AL128" s="2">
        <f t="shared" si="52"/>
        <v>39.586500000000001</v>
      </c>
      <c r="AM128" s="2">
        <f t="shared" si="52"/>
        <v>0.23150000000000001</v>
      </c>
      <c r="AN128" s="2">
        <f t="shared" si="52"/>
        <v>0</v>
      </c>
      <c r="AO128" s="2">
        <f t="shared" si="52"/>
        <v>2.7779999999999996</v>
      </c>
      <c r="AP128" s="2">
        <f t="shared" si="52"/>
        <v>4.1669999999999998</v>
      </c>
      <c r="AQ128" s="2">
        <f t="shared" si="52"/>
        <v>0</v>
      </c>
      <c r="AR128" s="2">
        <f t="shared" si="52"/>
        <v>4.63</v>
      </c>
      <c r="AS128" s="2">
        <f t="shared" si="52"/>
        <v>18.288500000000003</v>
      </c>
    </row>
    <row r="129" spans="1:45" hidden="1" x14ac:dyDescent="0.25">
      <c r="A129" s="2" t="s">
        <v>70</v>
      </c>
      <c r="B129" s="2">
        <v>3000</v>
      </c>
      <c r="C129" s="2">
        <f t="shared" si="52"/>
        <v>1.5</v>
      </c>
      <c r="D129" s="2">
        <f t="shared" si="52"/>
        <v>6</v>
      </c>
      <c r="E129" s="2">
        <f t="shared" si="52"/>
        <v>0.6</v>
      </c>
      <c r="F129" s="2">
        <f t="shared" si="52"/>
        <v>0</v>
      </c>
      <c r="G129" s="2">
        <f t="shared" si="52"/>
        <v>0</v>
      </c>
      <c r="H129" s="2">
        <f t="shared" si="52"/>
        <v>10.799999999999999</v>
      </c>
      <c r="I129" s="2">
        <f t="shared" si="52"/>
        <v>5.7</v>
      </c>
      <c r="J129" s="2">
        <f t="shared" si="52"/>
        <v>10.799999999999999</v>
      </c>
      <c r="K129" s="2">
        <f t="shared" si="52"/>
        <v>9.6</v>
      </c>
      <c r="L129" s="2">
        <f t="shared" si="52"/>
        <v>1.2</v>
      </c>
      <c r="M129" s="2">
        <f t="shared" si="52"/>
        <v>4.8</v>
      </c>
      <c r="N129" s="2">
        <f t="shared" si="52"/>
        <v>0</v>
      </c>
      <c r="O129" s="2">
        <f t="shared" si="52"/>
        <v>0</v>
      </c>
      <c r="P129" s="2">
        <f t="shared" si="52"/>
        <v>0</v>
      </c>
      <c r="Q129" s="2">
        <f t="shared" si="52"/>
        <v>15</v>
      </c>
      <c r="R129" s="2">
        <f t="shared" si="52"/>
        <v>7.8</v>
      </c>
      <c r="S129" s="2">
        <f t="shared" si="52"/>
        <v>1.7999999999999998</v>
      </c>
      <c r="T129" s="2">
        <f t="shared" si="52"/>
        <v>5.7</v>
      </c>
      <c r="U129" s="2">
        <f t="shared" si="52"/>
        <v>0</v>
      </c>
      <c r="V129" s="2">
        <f t="shared" si="52"/>
        <v>12.6</v>
      </c>
      <c r="W129" s="2">
        <f t="shared" si="52"/>
        <v>14.7</v>
      </c>
      <c r="X129" s="2">
        <f t="shared" si="52"/>
        <v>2.6999999999999997</v>
      </c>
      <c r="Y129" s="2">
        <f t="shared" si="52"/>
        <v>15.6</v>
      </c>
      <c r="Z129" s="2">
        <f t="shared" si="52"/>
        <v>16.2</v>
      </c>
      <c r="AA129" s="2">
        <f t="shared" si="52"/>
        <v>17.7</v>
      </c>
      <c r="AB129" s="2">
        <f t="shared" si="52"/>
        <v>9.9</v>
      </c>
      <c r="AC129" s="2">
        <f t="shared" si="52"/>
        <v>3.5999999999999996</v>
      </c>
      <c r="AD129" s="2">
        <f t="shared" si="52"/>
        <v>19.5</v>
      </c>
      <c r="AE129" s="2">
        <f t="shared" si="52"/>
        <v>15.9</v>
      </c>
      <c r="AF129" s="2">
        <f t="shared" si="52"/>
        <v>0</v>
      </c>
      <c r="AG129" s="2">
        <f t="shared" si="52"/>
        <v>11.700000000000001</v>
      </c>
      <c r="AH129" s="2">
        <f t="shared" si="52"/>
        <v>0</v>
      </c>
      <c r="AI129" s="2">
        <f t="shared" si="52"/>
        <v>13.200000000000001</v>
      </c>
      <c r="AJ129" s="2">
        <f t="shared" si="52"/>
        <v>8.4</v>
      </c>
      <c r="AK129" s="2">
        <f t="shared" si="52"/>
        <v>0.89999999999999991</v>
      </c>
      <c r="AL129" s="2">
        <f t="shared" si="52"/>
        <v>3.9</v>
      </c>
      <c r="AM129" s="2">
        <f t="shared" si="52"/>
        <v>0</v>
      </c>
      <c r="AN129" s="2">
        <f t="shared" si="52"/>
        <v>0</v>
      </c>
      <c r="AO129" s="2">
        <f t="shared" si="52"/>
        <v>0.3</v>
      </c>
      <c r="AP129" s="2">
        <f t="shared" si="52"/>
        <v>0.3</v>
      </c>
      <c r="AQ129" s="2">
        <f t="shared" si="52"/>
        <v>0</v>
      </c>
      <c r="AR129" s="2">
        <f t="shared" si="52"/>
        <v>0.89999999999999991</v>
      </c>
      <c r="AS129" s="2">
        <f t="shared" si="52"/>
        <v>0.89999999999999991</v>
      </c>
    </row>
    <row r="130" spans="1:45" hidden="1" x14ac:dyDescent="0.25">
      <c r="A130" s="2" t="s">
        <v>71</v>
      </c>
      <c r="B130" s="2">
        <v>3011</v>
      </c>
      <c r="C130" s="2">
        <f t="shared" si="52"/>
        <v>1.2044000000000001</v>
      </c>
      <c r="D130" s="2">
        <f t="shared" si="52"/>
        <v>8.7318999999999996</v>
      </c>
      <c r="E130" s="2">
        <f t="shared" si="52"/>
        <v>0.30110000000000003</v>
      </c>
      <c r="F130" s="2">
        <f t="shared" si="52"/>
        <v>0</v>
      </c>
      <c r="G130" s="2">
        <f t="shared" si="52"/>
        <v>0</v>
      </c>
      <c r="H130" s="2">
        <f t="shared" si="52"/>
        <v>13.2484</v>
      </c>
      <c r="I130" s="2">
        <f t="shared" si="52"/>
        <v>6.6242000000000001</v>
      </c>
      <c r="J130" s="2">
        <f t="shared" si="52"/>
        <v>15.6572</v>
      </c>
      <c r="K130" s="2">
        <f t="shared" si="52"/>
        <v>12.646199999999999</v>
      </c>
      <c r="L130" s="2">
        <f t="shared" si="52"/>
        <v>0.90329999999999988</v>
      </c>
      <c r="M130" s="2">
        <f t="shared" si="52"/>
        <v>4.2154000000000007</v>
      </c>
      <c r="N130" s="2">
        <f t="shared" si="52"/>
        <v>0</v>
      </c>
      <c r="O130" s="2">
        <f t="shared" si="52"/>
        <v>0</v>
      </c>
      <c r="P130" s="2">
        <f t="shared" si="52"/>
        <v>0</v>
      </c>
      <c r="Q130" s="2">
        <f t="shared" si="52"/>
        <v>20.1737</v>
      </c>
      <c r="R130" s="2">
        <f t="shared" si="52"/>
        <v>9.6352000000000011</v>
      </c>
      <c r="S130" s="2">
        <f t="shared" si="52"/>
        <v>0.90329999999999988</v>
      </c>
      <c r="T130" s="2">
        <f t="shared" si="52"/>
        <v>2.7098999999999998</v>
      </c>
      <c r="U130" s="2">
        <f t="shared" si="52"/>
        <v>0</v>
      </c>
      <c r="V130" s="2">
        <f t="shared" si="52"/>
        <v>11.441800000000001</v>
      </c>
      <c r="W130" s="2">
        <f t="shared" si="52"/>
        <v>18.065999999999999</v>
      </c>
      <c r="X130" s="2">
        <f t="shared" si="52"/>
        <v>3.3121</v>
      </c>
      <c r="Y130" s="2">
        <f t="shared" si="52"/>
        <v>19.270400000000002</v>
      </c>
      <c r="Z130" s="2">
        <f t="shared" si="52"/>
        <v>15.958299999999999</v>
      </c>
      <c r="AA130" s="2">
        <f t="shared" si="52"/>
        <v>12.044</v>
      </c>
      <c r="AB130" s="2">
        <f t="shared" si="52"/>
        <v>9.6352000000000011</v>
      </c>
      <c r="AC130" s="2">
        <f t="shared" si="52"/>
        <v>8.4308000000000014</v>
      </c>
      <c r="AD130" s="2">
        <f t="shared" si="52"/>
        <v>18.367099999999997</v>
      </c>
      <c r="AE130" s="2">
        <f t="shared" si="52"/>
        <v>18.668199999999999</v>
      </c>
      <c r="AF130" s="2">
        <f t="shared" si="52"/>
        <v>0</v>
      </c>
      <c r="AG130" s="2">
        <f t="shared" si="52"/>
        <v>17.764900000000001</v>
      </c>
      <c r="AH130" s="2">
        <f t="shared" si="52"/>
        <v>0</v>
      </c>
      <c r="AI130" s="2">
        <f t="shared" si="52"/>
        <v>15.055</v>
      </c>
      <c r="AJ130" s="2">
        <f t="shared" si="52"/>
        <v>7.226399999999999</v>
      </c>
      <c r="AK130" s="2">
        <f t="shared" si="52"/>
        <v>0.60220000000000007</v>
      </c>
      <c r="AL130" s="2">
        <f t="shared" si="52"/>
        <v>5.1187000000000005</v>
      </c>
      <c r="AM130" s="2">
        <f t="shared" si="52"/>
        <v>0</v>
      </c>
      <c r="AN130" s="2">
        <f t="shared" si="52"/>
        <v>0</v>
      </c>
      <c r="AO130" s="2">
        <f t="shared" si="52"/>
        <v>0.30110000000000003</v>
      </c>
      <c r="AP130" s="2">
        <f t="shared" si="52"/>
        <v>0.30110000000000003</v>
      </c>
      <c r="AQ130" s="2">
        <f t="shared" si="52"/>
        <v>0</v>
      </c>
      <c r="AR130" s="2">
        <f t="shared" si="52"/>
        <v>0.90329999999999988</v>
      </c>
      <c r="AS130" s="2">
        <f t="shared" si="52"/>
        <v>1.2044000000000001</v>
      </c>
    </row>
    <row r="131" spans="1:45" hidden="1" x14ac:dyDescent="0.25">
      <c r="A131" s="2" t="s">
        <v>72</v>
      </c>
      <c r="B131" s="2">
        <v>3699</v>
      </c>
      <c r="C131" s="2">
        <f t="shared" si="52"/>
        <v>2.9592000000000001</v>
      </c>
      <c r="D131" s="2">
        <f t="shared" si="52"/>
        <v>0</v>
      </c>
      <c r="E131" s="2">
        <f t="shared" si="52"/>
        <v>0</v>
      </c>
      <c r="F131" s="2">
        <f t="shared" si="52"/>
        <v>0</v>
      </c>
      <c r="G131" s="2">
        <f t="shared" si="52"/>
        <v>0</v>
      </c>
      <c r="H131" s="2">
        <f t="shared" si="52"/>
        <v>0</v>
      </c>
      <c r="I131" s="2">
        <f t="shared" si="52"/>
        <v>1.4796</v>
      </c>
      <c r="J131" s="2">
        <f t="shared" si="52"/>
        <v>1.4796</v>
      </c>
      <c r="K131" s="2">
        <f t="shared" si="52"/>
        <v>2.5893000000000002</v>
      </c>
      <c r="L131" s="2">
        <f t="shared" si="52"/>
        <v>0</v>
      </c>
      <c r="M131" s="2">
        <f t="shared" si="52"/>
        <v>0.73980000000000001</v>
      </c>
      <c r="N131" s="2">
        <f t="shared" si="52"/>
        <v>0</v>
      </c>
      <c r="O131" s="2">
        <f t="shared" si="52"/>
        <v>0</v>
      </c>
      <c r="P131" s="2">
        <f t="shared" si="52"/>
        <v>0</v>
      </c>
      <c r="Q131" s="2">
        <f t="shared" si="52"/>
        <v>1.4796</v>
      </c>
      <c r="R131" s="2">
        <f t="shared" si="52"/>
        <v>1.4796</v>
      </c>
      <c r="S131" s="2">
        <f t="shared" si="52"/>
        <v>0.73980000000000001</v>
      </c>
      <c r="T131" s="2">
        <f t="shared" si="52"/>
        <v>1.1096999999999999</v>
      </c>
      <c r="U131" s="2">
        <f t="shared" si="52"/>
        <v>0</v>
      </c>
      <c r="V131" s="2">
        <f t="shared" si="52"/>
        <v>0</v>
      </c>
      <c r="W131" s="2">
        <f t="shared" si="52"/>
        <v>0.73980000000000001</v>
      </c>
      <c r="X131" s="2">
        <f t="shared" si="52"/>
        <v>0.73980000000000001</v>
      </c>
      <c r="Y131" s="2">
        <f t="shared" si="52"/>
        <v>2.2193999999999998</v>
      </c>
      <c r="Z131" s="2">
        <f t="shared" si="52"/>
        <v>0.73980000000000001</v>
      </c>
      <c r="AA131" s="2">
        <f t="shared" si="52"/>
        <v>0.73980000000000001</v>
      </c>
      <c r="AB131" s="2">
        <f t="shared" si="52"/>
        <v>0</v>
      </c>
      <c r="AC131" s="2">
        <f t="shared" si="52"/>
        <v>0.73980000000000001</v>
      </c>
      <c r="AD131" s="2">
        <f t="shared" si="52"/>
        <v>0.73980000000000001</v>
      </c>
      <c r="AE131" s="2">
        <f t="shared" si="52"/>
        <v>2.2193999999999998</v>
      </c>
      <c r="AF131" s="2">
        <f t="shared" si="52"/>
        <v>0</v>
      </c>
      <c r="AG131" s="2">
        <f t="shared" si="52"/>
        <v>0</v>
      </c>
      <c r="AH131" s="2">
        <f t="shared" si="52"/>
        <v>0</v>
      </c>
      <c r="AI131" s="2">
        <f t="shared" si="52"/>
        <v>0.73980000000000001</v>
      </c>
      <c r="AJ131" s="2">
        <f t="shared" si="52"/>
        <v>0</v>
      </c>
      <c r="AK131" s="2">
        <f t="shared" si="52"/>
        <v>0</v>
      </c>
      <c r="AL131" s="2">
        <f t="shared" si="52"/>
        <v>0</v>
      </c>
      <c r="AM131" s="2">
        <f t="shared" si="52"/>
        <v>0</v>
      </c>
      <c r="AN131" s="2">
        <f t="shared" si="52"/>
        <v>0</v>
      </c>
      <c r="AO131" s="2">
        <f t="shared" si="52"/>
        <v>0</v>
      </c>
      <c r="AP131" s="2">
        <f t="shared" si="52"/>
        <v>0</v>
      </c>
      <c r="AQ131" s="2">
        <f t="shared" ref="AQ131:AS131" si="53">AQ10/100*$B131</f>
        <v>0</v>
      </c>
      <c r="AR131" s="2">
        <f t="shared" si="53"/>
        <v>0.36990000000000001</v>
      </c>
      <c r="AS131" s="2">
        <f t="shared" si="53"/>
        <v>0</v>
      </c>
    </row>
    <row r="132" spans="1:45" hidden="1" x14ac:dyDescent="0.25">
      <c r="A132" s="2" t="s">
        <v>73</v>
      </c>
      <c r="B132" s="2">
        <v>3707</v>
      </c>
      <c r="C132" s="2">
        <f t="shared" ref="C132:AS136" si="54">C11/100*$B132</f>
        <v>1.1120999999999999</v>
      </c>
      <c r="D132" s="2">
        <f t="shared" si="54"/>
        <v>0</v>
      </c>
      <c r="E132" s="2">
        <f t="shared" si="54"/>
        <v>0</v>
      </c>
      <c r="F132" s="2">
        <f t="shared" si="54"/>
        <v>0</v>
      </c>
      <c r="G132" s="2">
        <f t="shared" si="54"/>
        <v>0</v>
      </c>
      <c r="H132" s="2">
        <f t="shared" si="54"/>
        <v>0</v>
      </c>
      <c r="I132" s="2">
        <f t="shared" si="54"/>
        <v>0.37070000000000003</v>
      </c>
      <c r="J132" s="2">
        <f t="shared" si="54"/>
        <v>0.37070000000000003</v>
      </c>
      <c r="K132" s="2">
        <f t="shared" si="54"/>
        <v>0.74140000000000006</v>
      </c>
      <c r="L132" s="2">
        <f t="shared" si="54"/>
        <v>0</v>
      </c>
      <c r="M132" s="2">
        <f t="shared" si="54"/>
        <v>0.37070000000000003</v>
      </c>
      <c r="N132" s="2">
        <f t="shared" si="54"/>
        <v>0</v>
      </c>
      <c r="O132" s="2">
        <f t="shared" si="54"/>
        <v>0</v>
      </c>
      <c r="P132" s="2">
        <f t="shared" si="54"/>
        <v>0</v>
      </c>
      <c r="Q132" s="2">
        <f t="shared" si="54"/>
        <v>0.74140000000000006</v>
      </c>
      <c r="R132" s="2">
        <f t="shared" si="54"/>
        <v>0.74140000000000006</v>
      </c>
      <c r="S132" s="2">
        <f t="shared" si="54"/>
        <v>0</v>
      </c>
      <c r="T132" s="2">
        <f t="shared" si="54"/>
        <v>0</v>
      </c>
      <c r="U132" s="2">
        <f t="shared" si="54"/>
        <v>0</v>
      </c>
      <c r="V132" s="2">
        <f t="shared" si="54"/>
        <v>0</v>
      </c>
      <c r="W132" s="2">
        <f t="shared" si="54"/>
        <v>0</v>
      </c>
      <c r="X132" s="2">
        <f t="shared" si="54"/>
        <v>0</v>
      </c>
      <c r="Y132" s="2">
        <f t="shared" si="54"/>
        <v>0.37070000000000003</v>
      </c>
      <c r="Z132" s="2">
        <f t="shared" si="54"/>
        <v>0</v>
      </c>
      <c r="AA132" s="2">
        <f t="shared" si="54"/>
        <v>0.37070000000000003</v>
      </c>
      <c r="AB132" s="2">
        <f t="shared" si="54"/>
        <v>0.37070000000000003</v>
      </c>
      <c r="AC132" s="2">
        <f t="shared" si="54"/>
        <v>0</v>
      </c>
      <c r="AD132" s="2">
        <f t="shared" si="54"/>
        <v>0</v>
      </c>
      <c r="AE132" s="2">
        <f t="shared" si="54"/>
        <v>0.74140000000000006</v>
      </c>
      <c r="AF132" s="2">
        <f t="shared" si="54"/>
        <v>0</v>
      </c>
      <c r="AG132" s="2">
        <f t="shared" si="54"/>
        <v>0</v>
      </c>
      <c r="AH132" s="2">
        <f t="shared" si="54"/>
        <v>0</v>
      </c>
      <c r="AI132" s="2">
        <f t="shared" si="54"/>
        <v>0</v>
      </c>
      <c r="AJ132" s="2">
        <f t="shared" si="54"/>
        <v>0</v>
      </c>
      <c r="AK132" s="2">
        <f t="shared" si="54"/>
        <v>0</v>
      </c>
      <c r="AL132" s="2">
        <f t="shared" si="54"/>
        <v>0</v>
      </c>
      <c r="AM132" s="2">
        <f t="shared" si="54"/>
        <v>0</v>
      </c>
      <c r="AN132" s="2">
        <f t="shared" si="54"/>
        <v>0</v>
      </c>
      <c r="AO132" s="2">
        <f t="shared" si="54"/>
        <v>0</v>
      </c>
      <c r="AP132" s="2">
        <f t="shared" si="54"/>
        <v>0</v>
      </c>
      <c r="AQ132" s="2">
        <f t="shared" si="54"/>
        <v>0</v>
      </c>
      <c r="AR132" s="2">
        <f t="shared" si="54"/>
        <v>0</v>
      </c>
      <c r="AS132" s="2">
        <f t="shared" si="54"/>
        <v>0</v>
      </c>
    </row>
    <row r="133" spans="1:45" hidden="1" x14ac:dyDescent="0.25">
      <c r="A133" s="2" t="s">
        <v>74</v>
      </c>
      <c r="B133" s="2">
        <v>4404</v>
      </c>
      <c r="C133" s="2">
        <f t="shared" si="54"/>
        <v>0</v>
      </c>
      <c r="D133" s="2">
        <f t="shared" si="54"/>
        <v>0</v>
      </c>
      <c r="E133" s="2">
        <f t="shared" si="54"/>
        <v>0</v>
      </c>
      <c r="F133" s="2">
        <f t="shared" si="54"/>
        <v>0</v>
      </c>
      <c r="G133" s="2">
        <f t="shared" si="54"/>
        <v>0</v>
      </c>
      <c r="H133" s="2">
        <f t="shared" si="54"/>
        <v>0</v>
      </c>
      <c r="I133" s="2">
        <f t="shared" si="54"/>
        <v>0</v>
      </c>
      <c r="J133" s="2">
        <f t="shared" si="54"/>
        <v>0</v>
      </c>
      <c r="K133" s="2">
        <f t="shared" si="54"/>
        <v>0</v>
      </c>
      <c r="L133" s="2">
        <f t="shared" si="54"/>
        <v>0</v>
      </c>
      <c r="M133" s="2">
        <f t="shared" si="54"/>
        <v>0</v>
      </c>
      <c r="N133" s="2">
        <f t="shared" si="54"/>
        <v>0</v>
      </c>
      <c r="O133" s="2">
        <f t="shared" si="54"/>
        <v>0</v>
      </c>
      <c r="P133" s="2">
        <f t="shared" si="54"/>
        <v>0</v>
      </c>
      <c r="Q133" s="2">
        <f t="shared" si="54"/>
        <v>0</v>
      </c>
      <c r="R133" s="2">
        <f t="shared" si="54"/>
        <v>0.44040000000000001</v>
      </c>
      <c r="S133" s="2">
        <f t="shared" si="54"/>
        <v>0</v>
      </c>
      <c r="T133" s="2">
        <f t="shared" si="54"/>
        <v>0</v>
      </c>
      <c r="U133" s="2">
        <f t="shared" si="54"/>
        <v>0</v>
      </c>
      <c r="V133" s="2">
        <f t="shared" si="54"/>
        <v>0</v>
      </c>
      <c r="W133" s="2">
        <f t="shared" si="54"/>
        <v>0</v>
      </c>
      <c r="X133" s="2">
        <f t="shared" si="54"/>
        <v>0</v>
      </c>
      <c r="Y133" s="2">
        <f t="shared" si="54"/>
        <v>0</v>
      </c>
      <c r="Z133" s="2">
        <f t="shared" si="54"/>
        <v>0</v>
      </c>
      <c r="AA133" s="2">
        <f t="shared" si="54"/>
        <v>0</v>
      </c>
      <c r="AB133" s="2">
        <f t="shared" si="54"/>
        <v>0</v>
      </c>
      <c r="AC133" s="2">
        <f t="shared" si="54"/>
        <v>0</v>
      </c>
      <c r="AD133" s="2">
        <f t="shared" si="54"/>
        <v>0</v>
      </c>
      <c r="AE133" s="2">
        <f t="shared" si="54"/>
        <v>0</v>
      </c>
      <c r="AF133" s="2">
        <f t="shared" si="54"/>
        <v>0</v>
      </c>
      <c r="AG133" s="2">
        <f t="shared" si="54"/>
        <v>0</v>
      </c>
      <c r="AH133" s="2">
        <f t="shared" si="54"/>
        <v>0</v>
      </c>
      <c r="AI133" s="2">
        <f t="shared" si="54"/>
        <v>0</v>
      </c>
      <c r="AJ133" s="2">
        <f t="shared" si="54"/>
        <v>0</v>
      </c>
      <c r="AK133" s="2">
        <f t="shared" si="54"/>
        <v>0</v>
      </c>
      <c r="AL133" s="2">
        <f t="shared" si="54"/>
        <v>0</v>
      </c>
      <c r="AM133" s="2">
        <f t="shared" si="54"/>
        <v>0</v>
      </c>
      <c r="AN133" s="2">
        <f t="shared" si="54"/>
        <v>0</v>
      </c>
      <c r="AO133" s="2">
        <f t="shared" si="54"/>
        <v>0</v>
      </c>
      <c r="AP133" s="2">
        <f t="shared" si="54"/>
        <v>0</v>
      </c>
      <c r="AQ133" s="2">
        <f t="shared" si="54"/>
        <v>0</v>
      </c>
      <c r="AR133" s="2">
        <f t="shared" si="54"/>
        <v>0</v>
      </c>
      <c r="AS133" s="2">
        <f t="shared" si="54"/>
        <v>0</v>
      </c>
    </row>
    <row r="134" spans="1:45" hidden="1" x14ac:dyDescent="0.25">
      <c r="A134" s="2" t="s">
        <v>75</v>
      </c>
      <c r="B134" s="2">
        <v>0</v>
      </c>
      <c r="C134" s="2">
        <f t="shared" si="54"/>
        <v>0</v>
      </c>
      <c r="D134" s="2">
        <f t="shared" si="54"/>
        <v>0</v>
      </c>
      <c r="E134" s="2">
        <f t="shared" si="54"/>
        <v>0</v>
      </c>
      <c r="F134" s="2">
        <f t="shared" si="54"/>
        <v>0</v>
      </c>
      <c r="G134" s="2">
        <f t="shared" si="54"/>
        <v>0</v>
      </c>
      <c r="H134" s="2">
        <f t="shared" si="54"/>
        <v>0</v>
      </c>
      <c r="I134" s="2">
        <f t="shared" si="54"/>
        <v>0</v>
      </c>
      <c r="J134" s="2">
        <f t="shared" si="54"/>
        <v>0</v>
      </c>
      <c r="K134" s="2">
        <f t="shared" si="54"/>
        <v>0</v>
      </c>
      <c r="L134" s="2">
        <f t="shared" si="54"/>
        <v>0</v>
      </c>
      <c r="M134" s="2">
        <f t="shared" si="54"/>
        <v>0</v>
      </c>
      <c r="N134" s="2">
        <f t="shared" si="54"/>
        <v>0</v>
      </c>
      <c r="O134" s="2">
        <f t="shared" si="54"/>
        <v>0</v>
      </c>
      <c r="P134" s="2">
        <f t="shared" si="54"/>
        <v>0</v>
      </c>
      <c r="Q134" s="2">
        <f t="shared" si="54"/>
        <v>0</v>
      </c>
      <c r="R134" s="2">
        <f t="shared" si="54"/>
        <v>0</v>
      </c>
      <c r="S134" s="2">
        <f t="shared" si="54"/>
        <v>0</v>
      </c>
      <c r="T134" s="2">
        <f t="shared" si="54"/>
        <v>0</v>
      </c>
      <c r="U134" s="2">
        <f t="shared" si="54"/>
        <v>0</v>
      </c>
      <c r="V134" s="2">
        <f t="shared" si="54"/>
        <v>0</v>
      </c>
      <c r="W134" s="2">
        <f t="shared" si="54"/>
        <v>0</v>
      </c>
      <c r="X134" s="2">
        <f t="shared" si="54"/>
        <v>0</v>
      </c>
      <c r="Y134" s="2">
        <f t="shared" si="54"/>
        <v>0</v>
      </c>
      <c r="Z134" s="2">
        <f t="shared" si="54"/>
        <v>0</v>
      </c>
      <c r="AA134" s="2">
        <f t="shared" si="54"/>
        <v>0</v>
      </c>
      <c r="AB134" s="2">
        <f t="shared" si="54"/>
        <v>0</v>
      </c>
      <c r="AC134" s="2">
        <f t="shared" si="54"/>
        <v>0</v>
      </c>
      <c r="AD134" s="2">
        <f t="shared" si="54"/>
        <v>0</v>
      </c>
      <c r="AE134" s="2">
        <f t="shared" si="54"/>
        <v>0</v>
      </c>
      <c r="AF134" s="2">
        <f t="shared" si="54"/>
        <v>0</v>
      </c>
      <c r="AG134" s="2">
        <f t="shared" si="54"/>
        <v>0</v>
      </c>
      <c r="AH134" s="2">
        <f t="shared" si="54"/>
        <v>0</v>
      </c>
      <c r="AI134" s="2">
        <f t="shared" si="54"/>
        <v>0</v>
      </c>
      <c r="AJ134" s="2">
        <f t="shared" si="54"/>
        <v>0</v>
      </c>
      <c r="AK134" s="2">
        <f t="shared" si="54"/>
        <v>0</v>
      </c>
      <c r="AL134" s="2">
        <f t="shared" si="54"/>
        <v>0</v>
      </c>
      <c r="AM134" s="2">
        <f t="shared" si="54"/>
        <v>0</v>
      </c>
      <c r="AN134" s="2">
        <f t="shared" si="54"/>
        <v>0</v>
      </c>
      <c r="AO134" s="2">
        <f t="shared" si="54"/>
        <v>0</v>
      </c>
      <c r="AP134" s="2">
        <f t="shared" si="54"/>
        <v>0</v>
      </c>
      <c r="AQ134" s="2">
        <f t="shared" si="54"/>
        <v>0</v>
      </c>
      <c r="AR134" s="2">
        <f t="shared" si="54"/>
        <v>0</v>
      </c>
      <c r="AS134" s="2">
        <f t="shared" si="54"/>
        <v>0</v>
      </c>
    </row>
    <row r="135" spans="1:45" hidden="1" x14ac:dyDescent="0.25">
      <c r="A135" s="2" t="s">
        <v>76</v>
      </c>
      <c r="B135" s="2">
        <v>0</v>
      </c>
      <c r="C135" s="2">
        <f t="shared" si="54"/>
        <v>0</v>
      </c>
      <c r="D135" s="2">
        <f t="shared" si="54"/>
        <v>0</v>
      </c>
      <c r="E135" s="2">
        <f t="shared" si="54"/>
        <v>0</v>
      </c>
      <c r="F135" s="2">
        <f t="shared" si="54"/>
        <v>0</v>
      </c>
      <c r="G135" s="2">
        <f t="shared" si="54"/>
        <v>0</v>
      </c>
      <c r="H135" s="2">
        <f t="shared" si="54"/>
        <v>0</v>
      </c>
      <c r="I135" s="2">
        <f t="shared" si="54"/>
        <v>0</v>
      </c>
      <c r="J135" s="2">
        <f t="shared" si="54"/>
        <v>0</v>
      </c>
      <c r="K135" s="2">
        <f t="shared" si="54"/>
        <v>0</v>
      </c>
      <c r="L135" s="2">
        <f t="shared" si="54"/>
        <v>0</v>
      </c>
      <c r="M135" s="2">
        <f t="shared" si="54"/>
        <v>0</v>
      </c>
      <c r="N135" s="2">
        <f t="shared" si="54"/>
        <v>0</v>
      </c>
      <c r="O135" s="2">
        <f t="shared" si="54"/>
        <v>0</v>
      </c>
      <c r="P135" s="2">
        <f t="shared" si="54"/>
        <v>0</v>
      </c>
      <c r="Q135" s="2">
        <f t="shared" si="54"/>
        <v>0</v>
      </c>
      <c r="R135" s="2">
        <f t="shared" si="54"/>
        <v>0</v>
      </c>
      <c r="S135" s="2">
        <f t="shared" si="54"/>
        <v>0</v>
      </c>
      <c r="T135" s="2">
        <f t="shared" si="54"/>
        <v>0</v>
      </c>
      <c r="U135" s="2">
        <f t="shared" si="54"/>
        <v>0</v>
      </c>
      <c r="V135" s="2">
        <f t="shared" si="54"/>
        <v>0</v>
      </c>
      <c r="W135" s="2">
        <f t="shared" si="54"/>
        <v>0</v>
      </c>
      <c r="X135" s="2">
        <f t="shared" si="54"/>
        <v>0</v>
      </c>
      <c r="Y135" s="2">
        <f t="shared" si="54"/>
        <v>0</v>
      </c>
      <c r="Z135" s="2">
        <f t="shared" si="54"/>
        <v>0</v>
      </c>
      <c r="AA135" s="2">
        <f t="shared" si="54"/>
        <v>0</v>
      </c>
      <c r="AB135" s="2">
        <f t="shared" si="54"/>
        <v>0</v>
      </c>
      <c r="AC135" s="2">
        <f t="shared" si="54"/>
        <v>0</v>
      </c>
      <c r="AD135" s="2">
        <f t="shared" si="54"/>
        <v>0</v>
      </c>
      <c r="AE135" s="2">
        <f t="shared" si="54"/>
        <v>0</v>
      </c>
      <c r="AF135" s="2">
        <f t="shared" si="54"/>
        <v>0</v>
      </c>
      <c r="AG135" s="2">
        <f t="shared" si="54"/>
        <v>0</v>
      </c>
      <c r="AH135" s="2">
        <f t="shared" si="54"/>
        <v>0</v>
      </c>
      <c r="AI135" s="2">
        <f t="shared" si="54"/>
        <v>0</v>
      </c>
      <c r="AJ135" s="2">
        <f t="shared" si="54"/>
        <v>0</v>
      </c>
      <c r="AK135" s="2">
        <f t="shared" si="54"/>
        <v>0</v>
      </c>
      <c r="AL135" s="2">
        <f t="shared" si="54"/>
        <v>0</v>
      </c>
      <c r="AM135" s="2">
        <f t="shared" si="54"/>
        <v>0</v>
      </c>
      <c r="AN135" s="2">
        <f t="shared" si="54"/>
        <v>0</v>
      </c>
      <c r="AO135" s="2">
        <f t="shared" si="54"/>
        <v>0</v>
      </c>
      <c r="AP135" s="2">
        <f t="shared" si="54"/>
        <v>0</v>
      </c>
      <c r="AQ135" s="2">
        <f t="shared" si="54"/>
        <v>0</v>
      </c>
      <c r="AR135" s="2">
        <f t="shared" si="54"/>
        <v>0</v>
      </c>
      <c r="AS135" s="2">
        <f t="shared" si="54"/>
        <v>0</v>
      </c>
    </row>
    <row r="136" spans="1:45" hidden="1" x14ac:dyDescent="0.25">
      <c r="A136" s="2" t="s">
        <v>77</v>
      </c>
      <c r="B136" s="2">
        <v>0</v>
      </c>
      <c r="C136" s="2">
        <f t="shared" si="54"/>
        <v>0</v>
      </c>
      <c r="D136" s="2">
        <f t="shared" si="54"/>
        <v>0</v>
      </c>
      <c r="E136" s="2">
        <f t="shared" si="54"/>
        <v>0</v>
      </c>
      <c r="F136" s="2">
        <f t="shared" si="54"/>
        <v>0</v>
      </c>
      <c r="G136" s="2">
        <f t="shared" si="54"/>
        <v>0</v>
      </c>
      <c r="H136" s="2">
        <f t="shared" si="54"/>
        <v>0</v>
      </c>
      <c r="I136" s="2">
        <f t="shared" si="54"/>
        <v>0</v>
      </c>
      <c r="J136" s="2">
        <f t="shared" si="54"/>
        <v>0</v>
      </c>
      <c r="K136" s="2">
        <f t="shared" si="54"/>
        <v>0</v>
      </c>
      <c r="L136" s="2">
        <f t="shared" si="54"/>
        <v>0</v>
      </c>
      <c r="M136" s="2">
        <f t="shared" si="54"/>
        <v>0</v>
      </c>
      <c r="N136" s="2">
        <f t="shared" si="54"/>
        <v>0</v>
      </c>
      <c r="O136" s="2">
        <f t="shared" si="54"/>
        <v>0</v>
      </c>
      <c r="P136" s="2">
        <f t="shared" si="54"/>
        <v>0</v>
      </c>
      <c r="Q136" s="2">
        <f t="shared" si="54"/>
        <v>0</v>
      </c>
      <c r="R136" s="2">
        <f t="shared" si="54"/>
        <v>0</v>
      </c>
      <c r="S136" s="2">
        <f t="shared" si="54"/>
        <v>0</v>
      </c>
      <c r="T136" s="2">
        <f t="shared" si="54"/>
        <v>0</v>
      </c>
      <c r="U136" s="2">
        <f t="shared" si="54"/>
        <v>0</v>
      </c>
      <c r="V136" s="2">
        <f t="shared" si="54"/>
        <v>0</v>
      </c>
      <c r="W136" s="2">
        <f t="shared" si="54"/>
        <v>0</v>
      </c>
      <c r="X136" s="2">
        <f t="shared" si="54"/>
        <v>0</v>
      </c>
      <c r="Y136" s="2">
        <f t="shared" si="54"/>
        <v>0</v>
      </c>
      <c r="Z136" s="2">
        <f t="shared" si="54"/>
        <v>0</v>
      </c>
      <c r="AA136" s="2">
        <f t="shared" si="54"/>
        <v>0</v>
      </c>
      <c r="AB136" s="2">
        <f t="shared" si="54"/>
        <v>0</v>
      </c>
      <c r="AC136" s="2">
        <f t="shared" si="54"/>
        <v>0</v>
      </c>
      <c r="AD136" s="2">
        <f t="shared" si="54"/>
        <v>0</v>
      </c>
      <c r="AE136" s="2">
        <f t="shared" si="54"/>
        <v>0</v>
      </c>
      <c r="AF136" s="2">
        <f t="shared" si="54"/>
        <v>0</v>
      </c>
      <c r="AG136" s="2">
        <f t="shared" si="54"/>
        <v>0</v>
      </c>
      <c r="AH136" s="2">
        <f t="shared" si="54"/>
        <v>0</v>
      </c>
      <c r="AI136" s="2">
        <f t="shared" si="54"/>
        <v>0</v>
      </c>
      <c r="AJ136" s="2">
        <f t="shared" si="54"/>
        <v>0</v>
      </c>
      <c r="AK136" s="2">
        <f t="shared" si="54"/>
        <v>0</v>
      </c>
      <c r="AL136" s="2">
        <f t="shared" si="54"/>
        <v>0</v>
      </c>
      <c r="AM136" s="2">
        <f t="shared" si="54"/>
        <v>0</v>
      </c>
      <c r="AN136" s="2">
        <f t="shared" si="54"/>
        <v>0</v>
      </c>
      <c r="AO136" s="2">
        <f t="shared" si="54"/>
        <v>0</v>
      </c>
      <c r="AP136" s="2">
        <f t="shared" si="54"/>
        <v>0</v>
      </c>
      <c r="AQ136" s="2">
        <f t="shared" si="54"/>
        <v>0</v>
      </c>
      <c r="AR136" s="2">
        <f t="shared" si="54"/>
        <v>0</v>
      </c>
      <c r="AS136" s="2">
        <f t="shared" si="54"/>
        <v>0</v>
      </c>
    </row>
    <row r="137" spans="1:45" hidden="1" x14ac:dyDescent="0.25">
      <c r="A137" s="2" t="s">
        <v>78</v>
      </c>
      <c r="C137" s="2">
        <f>SUM(C126:C136)</f>
        <v>988.83543999999995</v>
      </c>
      <c r="D137" s="2">
        <f t="shared" ref="D137:AS137" si="55">SUM(D126:D136)</f>
        <v>995.51779999999997</v>
      </c>
      <c r="E137" s="2">
        <f>SUM(E126:E136)</f>
        <v>966.43319999999994</v>
      </c>
      <c r="F137" s="2">
        <f>SUM(F126:F136)</f>
        <v>963.00372000000004</v>
      </c>
      <c r="G137" s="2">
        <f t="shared" si="55"/>
        <v>968.3707599999999</v>
      </c>
      <c r="H137" s="2">
        <f>SUM(H126:H136)</f>
        <v>985.34193999999991</v>
      </c>
      <c r="I137" s="2">
        <f>SUM(I126:I136)</f>
        <v>957.59072000000003</v>
      </c>
      <c r="J137" s="2">
        <f>SUM(J126:J136)</f>
        <v>1022.2236999999999</v>
      </c>
      <c r="K137" s="2">
        <f t="shared" si="55"/>
        <v>982.07103999999993</v>
      </c>
      <c r="L137" s="2">
        <f>SUM(L126:L136)</f>
        <v>1021.26792</v>
      </c>
      <c r="M137" s="2">
        <f>SUM(M126:M136)</f>
        <v>1010.1770399999998</v>
      </c>
      <c r="N137" s="2">
        <f t="shared" si="55"/>
        <v>908.78409999999997</v>
      </c>
      <c r="O137" s="2">
        <f t="shared" si="55"/>
        <v>908.06689999999992</v>
      </c>
      <c r="P137" s="2">
        <f t="shared" si="55"/>
        <v>908.66351999999995</v>
      </c>
      <c r="Q137" s="2">
        <f t="shared" si="55"/>
        <v>1000.67886</v>
      </c>
      <c r="R137" s="2">
        <f>SUM(R126:R136)</f>
        <v>981.18157999999994</v>
      </c>
      <c r="S137" s="2">
        <f>SUM(S126:S136)</f>
        <v>931.27505999999971</v>
      </c>
      <c r="T137" s="2">
        <f t="shared" si="55"/>
        <v>936.81328000000008</v>
      </c>
      <c r="U137" s="2">
        <f t="shared" si="55"/>
        <v>956.69945999999993</v>
      </c>
      <c r="V137" s="2">
        <f>SUM(V126:V136)</f>
        <v>988.09204</v>
      </c>
      <c r="W137" s="2">
        <f t="shared" si="55"/>
        <v>982.31749999999988</v>
      </c>
      <c r="X137" s="2">
        <f t="shared" si="55"/>
        <v>934.3288</v>
      </c>
      <c r="Y137" s="2">
        <f t="shared" si="55"/>
        <v>989.46674000000007</v>
      </c>
      <c r="Z137" s="2">
        <f t="shared" si="55"/>
        <v>991.71233999999993</v>
      </c>
      <c r="AA137" s="2">
        <f>SUM(AA126:AA136)</f>
        <v>1013.06164</v>
      </c>
      <c r="AB137" s="2">
        <f t="shared" si="55"/>
        <v>985.78512000000001</v>
      </c>
      <c r="AC137" s="2">
        <f t="shared" si="55"/>
        <v>968.58402000000001</v>
      </c>
      <c r="AD137" s="2">
        <f t="shared" si="55"/>
        <v>1003.4688599999999</v>
      </c>
      <c r="AE137" s="2">
        <f t="shared" si="55"/>
        <v>1028.2100400000002</v>
      </c>
      <c r="AF137" s="2">
        <f t="shared" si="55"/>
        <v>969.43916000000013</v>
      </c>
      <c r="AG137" s="2">
        <f t="shared" si="55"/>
        <v>999.75297999999998</v>
      </c>
      <c r="AH137" s="2">
        <f t="shared" si="55"/>
        <v>950.8152</v>
      </c>
      <c r="AI137" s="2">
        <f t="shared" si="55"/>
        <v>989.28077999999982</v>
      </c>
      <c r="AJ137" s="2">
        <f>SUM(AJ126:AJ136)</f>
        <v>955.33261999999991</v>
      </c>
      <c r="AK137" s="2">
        <f t="shared" si="55"/>
        <v>925.22008000000005</v>
      </c>
      <c r="AL137" s="2">
        <f>SUM(AL126:AL136)</f>
        <v>1012.8873599999998</v>
      </c>
      <c r="AM137" s="2">
        <f t="shared" si="55"/>
        <v>908.56225999999992</v>
      </c>
      <c r="AN137" s="2">
        <f>SUM(AN126:AN136)</f>
        <v>0</v>
      </c>
      <c r="AO137" s="2">
        <f>SUM(AO126:AO136)</f>
        <v>928.11263999999994</v>
      </c>
      <c r="AP137" s="2">
        <f>SUM(AP126:AP136)</f>
        <v>951.56329999999991</v>
      </c>
      <c r="AQ137" s="2">
        <f>SUM(AQ126:AQ136)</f>
        <v>0</v>
      </c>
      <c r="AR137" s="2">
        <f>SUM(AR126:AR136)</f>
        <v>941.0184999999999</v>
      </c>
      <c r="AS137" s="2">
        <f t="shared" si="55"/>
        <v>964.27523999999994</v>
      </c>
    </row>
    <row r="138" spans="1:45" hidden="1" x14ac:dyDescent="0.25"/>
    <row r="139" spans="1:45" hidden="1" x14ac:dyDescent="0.25">
      <c r="A139" s="46" t="s">
        <v>104</v>
      </c>
    </row>
    <row r="140" spans="1:45" hidden="1" x14ac:dyDescent="0.25">
      <c r="A140" s="2" t="s">
        <v>67</v>
      </c>
      <c r="B140" s="2">
        <v>892.97</v>
      </c>
      <c r="C140" s="2">
        <f t="shared" ref="C140:AS145" si="56">C5/100*$B140</f>
        <v>800.63690199999996</v>
      </c>
      <c r="D140" s="2">
        <f t="shared" si="56"/>
        <v>792.06439</v>
      </c>
      <c r="E140" s="2">
        <f t="shared" si="56"/>
        <v>815.28161</v>
      </c>
      <c r="F140" s="2">
        <f t="shared" si="56"/>
        <v>818.6748960000001</v>
      </c>
      <c r="G140" s="2">
        <f t="shared" si="56"/>
        <v>818.76419299999998</v>
      </c>
      <c r="H140" s="2">
        <f t="shared" si="56"/>
        <v>824.74709199999995</v>
      </c>
      <c r="I140" s="2">
        <f t="shared" si="56"/>
        <v>844.57102599999996</v>
      </c>
      <c r="J140" s="2">
        <f t="shared" si="56"/>
        <v>791.1714199999999</v>
      </c>
      <c r="K140" s="2">
        <f t="shared" si="56"/>
        <v>826.53303200000005</v>
      </c>
      <c r="L140" s="2">
        <f t="shared" si="56"/>
        <v>763.75724100000002</v>
      </c>
      <c r="M140" s="2">
        <f t="shared" si="56"/>
        <v>787.24235199999998</v>
      </c>
      <c r="N140" s="2">
        <f t="shared" si="56"/>
        <v>891.18406000000004</v>
      </c>
      <c r="O140" s="2">
        <f t="shared" si="56"/>
        <v>891.18406000000004</v>
      </c>
      <c r="P140" s="2">
        <f t="shared" si="56"/>
        <v>891.45195100000001</v>
      </c>
      <c r="Q140" s="2">
        <f t="shared" si="56"/>
        <v>820.10364800000002</v>
      </c>
      <c r="R140" s="2">
        <f t="shared" si="56"/>
        <v>829.30123900000012</v>
      </c>
      <c r="S140" s="2">
        <f t="shared" si="56"/>
        <v>868.324028</v>
      </c>
      <c r="T140" s="2">
        <f t="shared" si="56"/>
        <v>867.69894900000008</v>
      </c>
      <c r="U140" s="2">
        <f t="shared" si="56"/>
        <v>833.94468299999994</v>
      </c>
      <c r="V140" s="2">
        <f t="shared" si="56"/>
        <v>820.282242</v>
      </c>
      <c r="W140" s="2">
        <f t="shared" si="56"/>
        <v>837.60586000000001</v>
      </c>
      <c r="X140" s="2">
        <f t="shared" si="56"/>
        <v>863.50199000000009</v>
      </c>
      <c r="Y140" s="2">
        <f t="shared" si="56"/>
        <v>825.64006200000006</v>
      </c>
      <c r="Z140" s="2">
        <f t="shared" si="56"/>
        <v>824.30060700000001</v>
      </c>
      <c r="AA140" s="2">
        <f t="shared" si="56"/>
        <v>806.44120700000008</v>
      </c>
      <c r="AB140" s="2">
        <f t="shared" si="56"/>
        <v>824.47920099999999</v>
      </c>
      <c r="AC140" s="2">
        <f t="shared" si="56"/>
        <v>821.35380600000008</v>
      </c>
      <c r="AD140" s="2">
        <f t="shared" si="56"/>
        <v>810.280978</v>
      </c>
      <c r="AE140" s="2">
        <f t="shared" si="56"/>
        <v>783.22398700000008</v>
      </c>
      <c r="AF140" s="2">
        <f t="shared" si="56"/>
        <v>804.03018800000007</v>
      </c>
      <c r="AG140" s="2">
        <f t="shared" si="56"/>
        <v>804.29807900000003</v>
      </c>
      <c r="AH140" s="2">
        <f t="shared" si="56"/>
        <v>833.14100999999994</v>
      </c>
      <c r="AI140" s="2">
        <f t="shared" si="56"/>
        <v>825.72935900000004</v>
      </c>
      <c r="AJ140" s="2">
        <f t="shared" si="56"/>
        <v>846.35696600000006</v>
      </c>
      <c r="AK140" s="2">
        <f t="shared" si="56"/>
        <v>876.18216400000006</v>
      </c>
      <c r="AL140" s="2">
        <f t="shared" si="56"/>
        <v>775.00866299999996</v>
      </c>
      <c r="AM140" s="2">
        <f t="shared" si="56"/>
        <v>890.648278</v>
      </c>
      <c r="AN140" s="2">
        <f t="shared" si="56"/>
        <v>0</v>
      </c>
      <c r="AO140" s="2">
        <f t="shared" si="56"/>
        <v>869.39559200000008</v>
      </c>
      <c r="AP140" s="2">
        <f t="shared" si="56"/>
        <v>839.39179999999999</v>
      </c>
      <c r="AQ140" s="2">
        <f t="shared" si="56"/>
        <v>0</v>
      </c>
      <c r="AR140" s="2">
        <f t="shared" si="56"/>
        <v>855.01877500000001</v>
      </c>
      <c r="AS140" s="2">
        <f t="shared" si="56"/>
        <v>831.44436700000006</v>
      </c>
    </row>
    <row r="141" spans="1:45" hidden="1" x14ac:dyDescent="0.25">
      <c r="A141" s="2" t="s">
        <v>68</v>
      </c>
      <c r="B141" s="2">
        <v>1564.34</v>
      </c>
      <c r="C141" s="2">
        <f t="shared" si="56"/>
        <v>132.65603199999998</v>
      </c>
      <c r="D141" s="2">
        <f t="shared" si="56"/>
        <v>130.46595600000001</v>
      </c>
      <c r="E141" s="2">
        <f t="shared" si="56"/>
        <v>112.78891399999999</v>
      </c>
      <c r="F141" s="2">
        <f t="shared" si="56"/>
        <v>124.67789799999998</v>
      </c>
      <c r="G141" s="2">
        <f t="shared" si="56"/>
        <v>126.86797399999998</v>
      </c>
      <c r="H141" s="2">
        <f t="shared" si="56"/>
        <v>76.339791999999989</v>
      </c>
      <c r="I141" s="2">
        <f t="shared" si="56"/>
        <v>59.914221999999995</v>
      </c>
      <c r="J141" s="2">
        <f t="shared" si="56"/>
        <v>119.202708</v>
      </c>
      <c r="K141" s="2">
        <f t="shared" si="56"/>
        <v>73.523979999999995</v>
      </c>
      <c r="L141" s="2">
        <f t="shared" si="56"/>
        <v>200.54838799999999</v>
      </c>
      <c r="M141" s="2">
        <f t="shared" si="56"/>
        <v>146.891526</v>
      </c>
      <c r="N141" s="2">
        <f t="shared" si="56"/>
        <v>0.93860399999999988</v>
      </c>
      <c r="O141" s="2">
        <f t="shared" si="56"/>
        <v>0.46930199999999994</v>
      </c>
      <c r="P141" s="2">
        <f t="shared" si="56"/>
        <v>0.78216999999999992</v>
      </c>
      <c r="Q141" s="2">
        <f t="shared" si="56"/>
        <v>70.082432000000011</v>
      </c>
      <c r="R141" s="2">
        <f t="shared" si="56"/>
        <v>60.696391999999996</v>
      </c>
      <c r="S141" s="2">
        <f t="shared" si="56"/>
        <v>38.482763999999996</v>
      </c>
      <c r="T141" s="2">
        <f t="shared" si="56"/>
        <v>32.538271999999999</v>
      </c>
      <c r="U141" s="2">
        <f t="shared" si="56"/>
        <v>101.99496799999999</v>
      </c>
      <c r="V141" s="2">
        <f t="shared" si="56"/>
        <v>88.541644000000005</v>
      </c>
      <c r="W141" s="2">
        <f t="shared" si="56"/>
        <v>48.494540000000001</v>
      </c>
      <c r="X141" s="2">
        <f t="shared" si="56"/>
        <v>35.823385999999999</v>
      </c>
      <c r="Y141" s="2">
        <f t="shared" si="56"/>
        <v>63.35577</v>
      </c>
      <c r="Z141" s="2">
        <f t="shared" si="56"/>
        <v>63.199335999999995</v>
      </c>
      <c r="AA141" s="2">
        <f t="shared" si="56"/>
        <v>83.692189999999997</v>
      </c>
      <c r="AB141" s="2">
        <f t="shared" si="56"/>
        <v>79.468471999999991</v>
      </c>
      <c r="AC141" s="2">
        <f t="shared" si="56"/>
        <v>87.133737999999994</v>
      </c>
      <c r="AD141" s="2">
        <f t="shared" si="56"/>
        <v>87.759473999999997</v>
      </c>
      <c r="AE141" s="2">
        <f t="shared" si="56"/>
        <v>122.331388</v>
      </c>
      <c r="AF141" s="2">
        <f t="shared" si="56"/>
        <v>143.293544</v>
      </c>
      <c r="AG141" s="2">
        <f t="shared" si="56"/>
        <v>97.771249999999995</v>
      </c>
      <c r="AH141" s="2">
        <f t="shared" si="56"/>
        <v>97.771249999999995</v>
      </c>
      <c r="AI141" s="2">
        <f t="shared" si="56"/>
        <v>69.925997999999993</v>
      </c>
      <c r="AJ141" s="2">
        <f t="shared" si="56"/>
        <v>55.690503999999997</v>
      </c>
      <c r="AK141" s="2">
        <f t="shared" si="56"/>
        <v>24.090835999999999</v>
      </c>
      <c r="AL141" s="2">
        <f t="shared" si="56"/>
        <v>169.105154</v>
      </c>
      <c r="AM141" s="2">
        <f t="shared" si="56"/>
        <v>1.2514719999999999</v>
      </c>
      <c r="AN141" s="2">
        <f t="shared" si="56"/>
        <v>0</v>
      </c>
      <c r="AO141" s="2">
        <f t="shared" si="56"/>
        <v>38.013462000000004</v>
      </c>
      <c r="AP141" s="2">
        <f t="shared" si="56"/>
        <v>88.854511999999986</v>
      </c>
      <c r="AQ141" s="2">
        <f t="shared" si="56"/>
        <v>0</v>
      </c>
      <c r="AR141" s="2">
        <f t="shared" si="56"/>
        <v>61.322127999999992</v>
      </c>
      <c r="AS141" s="2">
        <f t="shared" si="56"/>
        <v>93.860399999999998</v>
      </c>
    </row>
    <row r="142" spans="1:45" hidden="1" x14ac:dyDescent="0.25">
      <c r="A142" s="2" t="s">
        <v>69</v>
      </c>
      <c r="B142" s="2">
        <v>2224.0100000000002</v>
      </c>
      <c r="C142" s="2">
        <f t="shared" si="56"/>
        <v>28.244927000000001</v>
      </c>
      <c r="D142" s="2">
        <f t="shared" si="56"/>
        <v>37.585768999999999</v>
      </c>
      <c r="E142" s="2">
        <f t="shared" si="56"/>
        <v>17.792080000000002</v>
      </c>
      <c r="F142" s="2">
        <f t="shared" si="56"/>
        <v>0.22240100000000004</v>
      </c>
      <c r="G142" s="2">
        <f t="shared" si="56"/>
        <v>3.1136140000000005</v>
      </c>
      <c r="H142" s="2">
        <f t="shared" si="56"/>
        <v>40.699383000000005</v>
      </c>
      <c r="I142" s="2">
        <f t="shared" si="56"/>
        <v>20.460892000000001</v>
      </c>
      <c r="J142" s="2">
        <f t="shared" si="56"/>
        <v>62.272280000000002</v>
      </c>
      <c r="K142" s="2">
        <f t="shared" si="56"/>
        <v>37.140967000000003</v>
      </c>
      <c r="L142" s="2">
        <f t="shared" si="56"/>
        <v>32.470546000000006</v>
      </c>
      <c r="M142" s="2">
        <f t="shared" si="56"/>
        <v>44.480200000000004</v>
      </c>
      <c r="N142" s="2">
        <f t="shared" si="56"/>
        <v>0.22240100000000004</v>
      </c>
      <c r="O142" s="2">
        <f t="shared" si="56"/>
        <v>0</v>
      </c>
      <c r="P142" s="2">
        <f t="shared" si="56"/>
        <v>0</v>
      </c>
      <c r="Q142" s="2">
        <f t="shared" si="56"/>
        <v>53.37624000000001</v>
      </c>
      <c r="R142" s="2">
        <f t="shared" si="56"/>
        <v>51.597031999999999</v>
      </c>
      <c r="S142" s="2">
        <f t="shared" si="56"/>
        <v>3.5584160000000007</v>
      </c>
      <c r="T142" s="2">
        <f t="shared" si="56"/>
        <v>9.5632430000000017</v>
      </c>
      <c r="U142" s="2">
        <f t="shared" si="56"/>
        <v>1.7792080000000003</v>
      </c>
      <c r="V142" s="2">
        <f t="shared" si="56"/>
        <v>35.584160000000004</v>
      </c>
      <c r="W142" s="2">
        <f t="shared" si="56"/>
        <v>43.812997000000003</v>
      </c>
      <c r="X142" s="2">
        <f t="shared" si="56"/>
        <v>10.675248</v>
      </c>
      <c r="Y142" s="2">
        <f t="shared" si="56"/>
        <v>43.812997000000003</v>
      </c>
      <c r="Z142" s="2">
        <f t="shared" si="56"/>
        <v>51.819433000000011</v>
      </c>
      <c r="AA142" s="2">
        <f t="shared" si="56"/>
        <v>71.390720999999999</v>
      </c>
      <c r="AB142" s="2">
        <f t="shared" si="56"/>
        <v>42.256190000000004</v>
      </c>
      <c r="AC142" s="2">
        <f t="shared" si="56"/>
        <v>28.022526000000003</v>
      </c>
      <c r="AD142" s="2">
        <f t="shared" si="56"/>
        <v>46.926611000000001</v>
      </c>
      <c r="AE142" s="2">
        <f t="shared" si="56"/>
        <v>63.829087000000008</v>
      </c>
      <c r="AF142" s="2">
        <f t="shared" si="56"/>
        <v>2.2240100000000003</v>
      </c>
      <c r="AG142" s="2">
        <f t="shared" si="56"/>
        <v>48.038616000000005</v>
      </c>
      <c r="AH142" s="2">
        <f t="shared" si="56"/>
        <v>1.1120050000000001</v>
      </c>
      <c r="AI142" s="2">
        <f t="shared" si="56"/>
        <v>45.147403000000004</v>
      </c>
      <c r="AJ142" s="2">
        <f t="shared" si="56"/>
        <v>19.348887000000001</v>
      </c>
      <c r="AK142" s="2">
        <f t="shared" si="56"/>
        <v>6.2272280000000011</v>
      </c>
      <c r="AL142" s="2">
        <f t="shared" si="56"/>
        <v>38.030571000000002</v>
      </c>
      <c r="AM142" s="2">
        <f t="shared" si="56"/>
        <v>0.22240100000000004</v>
      </c>
      <c r="AN142" s="2">
        <f t="shared" si="56"/>
        <v>0</v>
      </c>
      <c r="AO142" s="2">
        <f t="shared" si="56"/>
        <v>2.668812</v>
      </c>
      <c r="AP142" s="2">
        <f t="shared" si="56"/>
        <v>4.0032180000000004</v>
      </c>
      <c r="AQ142" s="2">
        <f t="shared" si="56"/>
        <v>0</v>
      </c>
      <c r="AR142" s="2">
        <f t="shared" si="56"/>
        <v>4.4480200000000005</v>
      </c>
      <c r="AS142" s="2">
        <f t="shared" si="56"/>
        <v>17.569679000000004</v>
      </c>
    </row>
    <row r="143" spans="1:45" hidden="1" x14ac:dyDescent="0.25">
      <c r="A143" s="2" t="s">
        <v>70</v>
      </c>
      <c r="B143" s="2">
        <v>2874.2</v>
      </c>
      <c r="C143" s="2">
        <f t="shared" si="56"/>
        <v>1.4371</v>
      </c>
      <c r="D143" s="2">
        <f t="shared" si="56"/>
        <v>5.7484000000000002</v>
      </c>
      <c r="E143" s="2">
        <f t="shared" si="56"/>
        <v>0.57484000000000002</v>
      </c>
      <c r="F143" s="2">
        <f t="shared" si="56"/>
        <v>0</v>
      </c>
      <c r="G143" s="2">
        <f t="shared" si="56"/>
        <v>0</v>
      </c>
      <c r="H143" s="2">
        <f t="shared" si="56"/>
        <v>10.347119999999999</v>
      </c>
      <c r="I143" s="2">
        <f t="shared" si="56"/>
        <v>5.4609799999999993</v>
      </c>
      <c r="J143" s="2">
        <f t="shared" si="56"/>
        <v>10.347119999999999</v>
      </c>
      <c r="K143" s="2">
        <f t="shared" si="56"/>
        <v>9.1974400000000003</v>
      </c>
      <c r="L143" s="2">
        <f t="shared" si="56"/>
        <v>1.14968</v>
      </c>
      <c r="M143" s="2">
        <f t="shared" si="56"/>
        <v>4.5987200000000001</v>
      </c>
      <c r="N143" s="2">
        <f t="shared" si="56"/>
        <v>0</v>
      </c>
      <c r="O143" s="2">
        <f t="shared" si="56"/>
        <v>0</v>
      </c>
      <c r="P143" s="2">
        <f t="shared" si="56"/>
        <v>0</v>
      </c>
      <c r="Q143" s="2">
        <f t="shared" si="56"/>
        <v>14.370999999999999</v>
      </c>
      <c r="R143" s="2">
        <f t="shared" si="56"/>
        <v>7.4729199999999993</v>
      </c>
      <c r="S143" s="2">
        <f t="shared" si="56"/>
        <v>1.7245199999999998</v>
      </c>
      <c r="T143" s="2">
        <f t="shared" si="56"/>
        <v>5.4609799999999993</v>
      </c>
      <c r="U143" s="2">
        <f t="shared" si="56"/>
        <v>0</v>
      </c>
      <c r="V143" s="2">
        <f t="shared" si="56"/>
        <v>12.071639999999999</v>
      </c>
      <c r="W143" s="2">
        <f t="shared" si="56"/>
        <v>14.083579999999998</v>
      </c>
      <c r="X143" s="2">
        <f t="shared" si="56"/>
        <v>2.5867799999999996</v>
      </c>
      <c r="Y143" s="2">
        <f t="shared" si="56"/>
        <v>14.945839999999999</v>
      </c>
      <c r="Z143" s="2">
        <f t="shared" si="56"/>
        <v>15.52068</v>
      </c>
      <c r="AA143" s="2">
        <f t="shared" si="56"/>
        <v>16.95778</v>
      </c>
      <c r="AB143" s="2">
        <f t="shared" si="56"/>
        <v>9.4848599999999994</v>
      </c>
      <c r="AC143" s="2">
        <f t="shared" si="56"/>
        <v>3.4490399999999997</v>
      </c>
      <c r="AD143" s="2">
        <f t="shared" si="56"/>
        <v>18.682300000000001</v>
      </c>
      <c r="AE143" s="2">
        <f t="shared" si="56"/>
        <v>15.23326</v>
      </c>
      <c r="AF143" s="2">
        <f t="shared" si="56"/>
        <v>0</v>
      </c>
      <c r="AG143" s="2">
        <f t="shared" si="56"/>
        <v>11.209379999999999</v>
      </c>
      <c r="AH143" s="2">
        <f t="shared" si="56"/>
        <v>0</v>
      </c>
      <c r="AI143" s="2">
        <f t="shared" si="56"/>
        <v>12.64648</v>
      </c>
      <c r="AJ143" s="2">
        <f t="shared" si="56"/>
        <v>8.0477600000000002</v>
      </c>
      <c r="AK143" s="2">
        <f t="shared" si="56"/>
        <v>0.86225999999999992</v>
      </c>
      <c r="AL143" s="2">
        <f t="shared" si="56"/>
        <v>3.7364599999999997</v>
      </c>
      <c r="AM143" s="2">
        <f t="shared" si="56"/>
        <v>0</v>
      </c>
      <c r="AN143" s="2">
        <f t="shared" si="56"/>
        <v>0</v>
      </c>
      <c r="AO143" s="2">
        <f t="shared" si="56"/>
        <v>0.28742000000000001</v>
      </c>
      <c r="AP143" s="2">
        <f t="shared" si="56"/>
        <v>0.28742000000000001</v>
      </c>
      <c r="AQ143" s="2">
        <f t="shared" si="56"/>
        <v>0</v>
      </c>
      <c r="AR143" s="2">
        <f t="shared" si="56"/>
        <v>0.86225999999999992</v>
      </c>
      <c r="AS143" s="2">
        <f t="shared" si="56"/>
        <v>0.86225999999999992</v>
      </c>
    </row>
    <row r="144" spans="1:45" hidden="1" x14ac:dyDescent="0.25">
      <c r="A144" s="2" t="s">
        <v>71</v>
      </c>
      <c r="B144" s="2">
        <v>2883.82</v>
      </c>
      <c r="C144" s="2">
        <f t="shared" si="56"/>
        <v>1.1535280000000001</v>
      </c>
      <c r="D144" s="2">
        <f t="shared" si="56"/>
        <v>8.3630779999999998</v>
      </c>
      <c r="E144" s="2">
        <f t="shared" si="56"/>
        <v>0.28838200000000003</v>
      </c>
      <c r="F144" s="2">
        <f t="shared" si="56"/>
        <v>0</v>
      </c>
      <c r="G144" s="2">
        <f t="shared" si="56"/>
        <v>0</v>
      </c>
      <c r="H144" s="2">
        <f t="shared" si="56"/>
        <v>12.688808000000002</v>
      </c>
      <c r="I144" s="2">
        <f t="shared" si="56"/>
        <v>6.3444040000000008</v>
      </c>
      <c r="J144" s="2">
        <f t="shared" si="56"/>
        <v>14.995864000000001</v>
      </c>
      <c r="K144" s="2">
        <f t="shared" si="56"/>
        <v>12.112043999999999</v>
      </c>
      <c r="L144" s="2">
        <f t="shared" si="56"/>
        <v>0.86514599999999997</v>
      </c>
      <c r="M144" s="2">
        <f t="shared" si="56"/>
        <v>4.0373480000000006</v>
      </c>
      <c r="N144" s="2">
        <f t="shared" si="56"/>
        <v>0</v>
      </c>
      <c r="O144" s="2">
        <f t="shared" si="56"/>
        <v>0</v>
      </c>
      <c r="P144" s="2">
        <f t="shared" si="56"/>
        <v>0</v>
      </c>
      <c r="Q144" s="2">
        <f t="shared" si="56"/>
        <v>19.321594000000001</v>
      </c>
      <c r="R144" s="2">
        <f t="shared" si="56"/>
        <v>9.2282240000000009</v>
      </c>
      <c r="S144" s="2">
        <f t="shared" si="56"/>
        <v>0.86514599999999997</v>
      </c>
      <c r="T144" s="2">
        <f t="shared" si="56"/>
        <v>2.5954380000000001</v>
      </c>
      <c r="U144" s="2">
        <f t="shared" si="56"/>
        <v>0</v>
      </c>
      <c r="V144" s="2">
        <f t="shared" si="56"/>
        <v>10.958516000000001</v>
      </c>
      <c r="W144" s="2">
        <f t="shared" si="56"/>
        <v>17.30292</v>
      </c>
      <c r="X144" s="2">
        <f t="shared" si="56"/>
        <v>3.1722020000000004</v>
      </c>
      <c r="Y144" s="2">
        <f t="shared" si="56"/>
        <v>18.456448000000002</v>
      </c>
      <c r="Z144" s="2">
        <f t="shared" si="56"/>
        <v>15.284246000000001</v>
      </c>
      <c r="AA144" s="2">
        <f t="shared" si="56"/>
        <v>11.53528</v>
      </c>
      <c r="AB144" s="2">
        <f t="shared" si="56"/>
        <v>9.2282240000000009</v>
      </c>
      <c r="AC144" s="2">
        <f t="shared" si="56"/>
        <v>8.0746960000000012</v>
      </c>
      <c r="AD144" s="2">
        <f t="shared" si="56"/>
        <v>17.591301999999999</v>
      </c>
      <c r="AE144" s="2">
        <f t="shared" si="56"/>
        <v>17.879684000000001</v>
      </c>
      <c r="AF144" s="2">
        <f t="shared" si="56"/>
        <v>0</v>
      </c>
      <c r="AG144" s="2">
        <f t="shared" si="56"/>
        <v>17.014538000000002</v>
      </c>
      <c r="AH144" s="2">
        <f t="shared" si="56"/>
        <v>0</v>
      </c>
      <c r="AI144" s="2">
        <f t="shared" si="56"/>
        <v>14.4191</v>
      </c>
      <c r="AJ144" s="2">
        <f t="shared" si="56"/>
        <v>6.9211679999999998</v>
      </c>
      <c r="AK144" s="2">
        <f t="shared" si="56"/>
        <v>0.57676400000000005</v>
      </c>
      <c r="AL144" s="2">
        <f t="shared" si="56"/>
        <v>4.9024940000000008</v>
      </c>
      <c r="AM144" s="2">
        <f t="shared" si="56"/>
        <v>0</v>
      </c>
      <c r="AN144" s="2">
        <f t="shared" si="56"/>
        <v>0</v>
      </c>
      <c r="AO144" s="2">
        <f t="shared" si="56"/>
        <v>0.28838200000000003</v>
      </c>
      <c r="AP144" s="2">
        <f t="shared" si="56"/>
        <v>0.28838200000000003</v>
      </c>
      <c r="AQ144" s="2">
        <f t="shared" si="56"/>
        <v>0</v>
      </c>
      <c r="AR144" s="2">
        <f t="shared" si="56"/>
        <v>0.86514599999999997</v>
      </c>
      <c r="AS144" s="2">
        <f t="shared" si="56"/>
        <v>1.1535280000000001</v>
      </c>
    </row>
    <row r="145" spans="1:45" hidden="1" x14ac:dyDescent="0.25">
      <c r="A145" s="2" t="s">
        <v>72</v>
      </c>
      <c r="B145" s="2">
        <v>3535.98</v>
      </c>
      <c r="C145" s="2">
        <f t="shared" si="56"/>
        <v>2.8287840000000002</v>
      </c>
      <c r="D145" s="2">
        <f t="shared" si="56"/>
        <v>0</v>
      </c>
      <c r="E145" s="2">
        <f t="shared" si="56"/>
        <v>0</v>
      </c>
      <c r="F145" s="2">
        <f t="shared" si="56"/>
        <v>0</v>
      </c>
      <c r="G145" s="2">
        <f t="shared" si="56"/>
        <v>0</v>
      </c>
      <c r="H145" s="2">
        <f t="shared" si="56"/>
        <v>0</v>
      </c>
      <c r="I145" s="2">
        <f t="shared" si="56"/>
        <v>1.4143920000000001</v>
      </c>
      <c r="J145" s="2">
        <f t="shared" si="56"/>
        <v>1.4143920000000001</v>
      </c>
      <c r="K145" s="2">
        <f t="shared" si="56"/>
        <v>2.4751860000000003</v>
      </c>
      <c r="L145" s="2">
        <f t="shared" si="56"/>
        <v>0</v>
      </c>
      <c r="M145" s="2">
        <f t="shared" si="56"/>
        <v>0.70719600000000005</v>
      </c>
      <c r="N145" s="2">
        <f t="shared" si="56"/>
        <v>0</v>
      </c>
      <c r="O145" s="2">
        <f t="shared" si="56"/>
        <v>0</v>
      </c>
      <c r="P145" s="2">
        <f t="shared" si="56"/>
        <v>0</v>
      </c>
      <c r="Q145" s="2">
        <f t="shared" si="56"/>
        <v>1.4143920000000001</v>
      </c>
      <c r="R145" s="2">
        <f t="shared" si="56"/>
        <v>1.4143920000000001</v>
      </c>
      <c r="S145" s="2">
        <f t="shared" si="56"/>
        <v>0.70719600000000005</v>
      </c>
      <c r="T145" s="2">
        <f t="shared" si="56"/>
        <v>1.060794</v>
      </c>
      <c r="U145" s="2">
        <f t="shared" si="56"/>
        <v>0</v>
      </c>
      <c r="V145" s="2">
        <f t="shared" si="56"/>
        <v>0</v>
      </c>
      <c r="W145" s="2">
        <f t="shared" si="56"/>
        <v>0.70719600000000005</v>
      </c>
      <c r="X145" s="2">
        <f t="shared" si="56"/>
        <v>0.70719600000000005</v>
      </c>
      <c r="Y145" s="2">
        <f t="shared" si="56"/>
        <v>2.121588</v>
      </c>
      <c r="Z145" s="2">
        <f t="shared" si="56"/>
        <v>0.70719600000000005</v>
      </c>
      <c r="AA145" s="2">
        <f t="shared" si="56"/>
        <v>0.70719600000000005</v>
      </c>
      <c r="AB145" s="2">
        <f t="shared" si="56"/>
        <v>0</v>
      </c>
      <c r="AC145" s="2">
        <f t="shared" si="56"/>
        <v>0.70719600000000005</v>
      </c>
      <c r="AD145" s="2">
        <f t="shared" si="56"/>
        <v>0.70719600000000005</v>
      </c>
      <c r="AE145" s="2">
        <f t="shared" si="56"/>
        <v>2.121588</v>
      </c>
      <c r="AF145" s="2">
        <f t="shared" si="56"/>
        <v>0</v>
      </c>
      <c r="AG145" s="2">
        <f t="shared" si="56"/>
        <v>0</v>
      </c>
      <c r="AH145" s="2">
        <f t="shared" si="56"/>
        <v>0</v>
      </c>
      <c r="AI145" s="2">
        <f t="shared" si="56"/>
        <v>0.70719600000000005</v>
      </c>
      <c r="AJ145" s="2">
        <f t="shared" si="56"/>
        <v>0</v>
      </c>
      <c r="AK145" s="2">
        <f t="shared" si="56"/>
        <v>0</v>
      </c>
      <c r="AL145" s="2">
        <f t="shared" si="56"/>
        <v>0</v>
      </c>
      <c r="AM145" s="2">
        <f t="shared" si="56"/>
        <v>0</v>
      </c>
      <c r="AN145" s="2">
        <f t="shared" si="56"/>
        <v>0</v>
      </c>
      <c r="AO145" s="2">
        <f t="shared" si="56"/>
        <v>0</v>
      </c>
      <c r="AP145" s="2">
        <f t="shared" si="56"/>
        <v>0</v>
      </c>
      <c r="AQ145" s="2">
        <f t="shared" ref="AQ145:AS145" si="57">AQ10/100*$B145</f>
        <v>0</v>
      </c>
      <c r="AR145" s="2">
        <f t="shared" si="57"/>
        <v>0.35359800000000002</v>
      </c>
      <c r="AS145" s="2">
        <f t="shared" si="57"/>
        <v>0</v>
      </c>
    </row>
    <row r="146" spans="1:45" hidden="1" x14ac:dyDescent="0.25">
      <c r="A146" s="2" t="s">
        <v>73</v>
      </c>
      <c r="B146" s="2">
        <v>3542.89</v>
      </c>
      <c r="C146" s="2">
        <f t="shared" ref="C146:AS150" si="58">C11/100*$B146</f>
        <v>1.0628669999999998</v>
      </c>
      <c r="D146" s="2">
        <f t="shared" si="58"/>
        <v>0</v>
      </c>
      <c r="E146" s="2">
        <f t="shared" si="58"/>
        <v>0</v>
      </c>
      <c r="F146" s="2">
        <f t="shared" si="58"/>
        <v>0</v>
      </c>
      <c r="G146" s="2">
        <f t="shared" si="58"/>
        <v>0</v>
      </c>
      <c r="H146" s="2">
        <f t="shared" si="58"/>
        <v>0</v>
      </c>
      <c r="I146" s="2">
        <f t="shared" si="58"/>
        <v>0.35428900000000002</v>
      </c>
      <c r="J146" s="2">
        <f t="shared" si="58"/>
        <v>0.35428900000000002</v>
      </c>
      <c r="K146" s="2">
        <f t="shared" si="58"/>
        <v>0.70857800000000004</v>
      </c>
      <c r="L146" s="2">
        <f t="shared" si="58"/>
        <v>0</v>
      </c>
      <c r="M146" s="2">
        <f t="shared" si="58"/>
        <v>0.35428900000000002</v>
      </c>
      <c r="N146" s="2">
        <f t="shared" si="58"/>
        <v>0</v>
      </c>
      <c r="O146" s="2">
        <f t="shared" si="58"/>
        <v>0</v>
      </c>
      <c r="P146" s="2">
        <f t="shared" si="58"/>
        <v>0</v>
      </c>
      <c r="Q146" s="2">
        <f t="shared" si="58"/>
        <v>0.70857800000000004</v>
      </c>
      <c r="R146" s="2">
        <f t="shared" si="58"/>
        <v>0.70857800000000004</v>
      </c>
      <c r="S146" s="2">
        <f t="shared" si="58"/>
        <v>0</v>
      </c>
      <c r="T146" s="2">
        <f t="shared" si="58"/>
        <v>0</v>
      </c>
      <c r="U146" s="2">
        <f t="shared" si="58"/>
        <v>0</v>
      </c>
      <c r="V146" s="2">
        <f t="shared" si="58"/>
        <v>0</v>
      </c>
      <c r="W146" s="2">
        <f t="shared" si="58"/>
        <v>0</v>
      </c>
      <c r="X146" s="2">
        <f t="shared" si="58"/>
        <v>0</v>
      </c>
      <c r="Y146" s="2">
        <f t="shared" si="58"/>
        <v>0.35428900000000002</v>
      </c>
      <c r="Z146" s="2">
        <f t="shared" si="58"/>
        <v>0</v>
      </c>
      <c r="AA146" s="2">
        <f t="shared" si="58"/>
        <v>0.35428900000000002</v>
      </c>
      <c r="AB146" s="2">
        <f t="shared" si="58"/>
        <v>0.35428900000000002</v>
      </c>
      <c r="AC146" s="2">
        <f t="shared" si="58"/>
        <v>0</v>
      </c>
      <c r="AD146" s="2">
        <f t="shared" si="58"/>
        <v>0</v>
      </c>
      <c r="AE146" s="2">
        <f t="shared" si="58"/>
        <v>0.70857800000000004</v>
      </c>
      <c r="AF146" s="2">
        <f t="shared" si="58"/>
        <v>0</v>
      </c>
      <c r="AG146" s="2">
        <f t="shared" si="58"/>
        <v>0</v>
      </c>
      <c r="AH146" s="2">
        <f t="shared" si="58"/>
        <v>0</v>
      </c>
      <c r="AI146" s="2">
        <f t="shared" si="58"/>
        <v>0</v>
      </c>
      <c r="AJ146" s="2">
        <f t="shared" si="58"/>
        <v>0</v>
      </c>
      <c r="AK146" s="2">
        <f t="shared" si="58"/>
        <v>0</v>
      </c>
      <c r="AL146" s="2">
        <f t="shared" si="58"/>
        <v>0</v>
      </c>
      <c r="AM146" s="2">
        <f t="shared" si="58"/>
        <v>0</v>
      </c>
      <c r="AN146" s="2">
        <f t="shared" si="58"/>
        <v>0</v>
      </c>
      <c r="AO146" s="2">
        <f t="shared" si="58"/>
        <v>0</v>
      </c>
      <c r="AP146" s="2">
        <f t="shared" si="58"/>
        <v>0</v>
      </c>
      <c r="AQ146" s="2">
        <f t="shared" si="58"/>
        <v>0</v>
      </c>
      <c r="AR146" s="2">
        <f t="shared" si="58"/>
        <v>0</v>
      </c>
      <c r="AS146" s="2">
        <f t="shared" si="58"/>
        <v>0</v>
      </c>
    </row>
    <row r="147" spans="1:45" hidden="1" x14ac:dyDescent="0.25">
      <c r="A147" s="2" t="s">
        <v>74</v>
      </c>
      <c r="B147" s="2">
        <v>4203.2299999999996</v>
      </c>
      <c r="C147" s="2">
        <f t="shared" si="58"/>
        <v>0</v>
      </c>
      <c r="D147" s="2">
        <f t="shared" si="58"/>
        <v>0</v>
      </c>
      <c r="E147" s="2">
        <f t="shared" si="58"/>
        <v>0</v>
      </c>
      <c r="F147" s="2">
        <f t="shared" si="58"/>
        <v>0</v>
      </c>
      <c r="G147" s="2">
        <f t="shared" si="58"/>
        <v>0</v>
      </c>
      <c r="H147" s="2">
        <f t="shared" si="58"/>
        <v>0</v>
      </c>
      <c r="I147" s="2">
        <f t="shared" si="58"/>
        <v>0</v>
      </c>
      <c r="J147" s="2">
        <f t="shared" si="58"/>
        <v>0</v>
      </c>
      <c r="K147" s="2">
        <f t="shared" si="58"/>
        <v>0</v>
      </c>
      <c r="L147" s="2">
        <f t="shared" si="58"/>
        <v>0</v>
      </c>
      <c r="M147" s="2">
        <f t="shared" si="58"/>
        <v>0</v>
      </c>
      <c r="N147" s="2">
        <f t="shared" si="58"/>
        <v>0</v>
      </c>
      <c r="O147" s="2">
        <f t="shared" si="58"/>
        <v>0</v>
      </c>
      <c r="P147" s="2">
        <f t="shared" si="58"/>
        <v>0</v>
      </c>
      <c r="Q147" s="2">
        <f t="shared" si="58"/>
        <v>0</v>
      </c>
      <c r="R147" s="2">
        <f t="shared" si="58"/>
        <v>0.420323</v>
      </c>
      <c r="S147" s="2">
        <f t="shared" si="58"/>
        <v>0</v>
      </c>
      <c r="T147" s="2">
        <f t="shared" si="58"/>
        <v>0</v>
      </c>
      <c r="U147" s="2">
        <f t="shared" si="58"/>
        <v>0</v>
      </c>
      <c r="V147" s="2">
        <f t="shared" si="58"/>
        <v>0</v>
      </c>
      <c r="W147" s="2">
        <f t="shared" si="58"/>
        <v>0</v>
      </c>
      <c r="X147" s="2">
        <f t="shared" si="58"/>
        <v>0</v>
      </c>
      <c r="Y147" s="2">
        <f t="shared" si="58"/>
        <v>0</v>
      </c>
      <c r="Z147" s="2">
        <f t="shared" si="58"/>
        <v>0</v>
      </c>
      <c r="AA147" s="2">
        <f t="shared" si="58"/>
        <v>0</v>
      </c>
      <c r="AB147" s="2">
        <f t="shared" si="58"/>
        <v>0</v>
      </c>
      <c r="AC147" s="2">
        <f t="shared" si="58"/>
        <v>0</v>
      </c>
      <c r="AD147" s="2">
        <f t="shared" si="58"/>
        <v>0</v>
      </c>
      <c r="AE147" s="2">
        <f t="shared" si="58"/>
        <v>0</v>
      </c>
      <c r="AF147" s="2">
        <f t="shared" si="58"/>
        <v>0</v>
      </c>
      <c r="AG147" s="2">
        <f t="shared" si="58"/>
        <v>0</v>
      </c>
      <c r="AH147" s="2">
        <f t="shared" si="58"/>
        <v>0</v>
      </c>
      <c r="AI147" s="2">
        <f t="shared" si="58"/>
        <v>0</v>
      </c>
      <c r="AJ147" s="2">
        <f t="shared" si="58"/>
        <v>0</v>
      </c>
      <c r="AK147" s="2">
        <f t="shared" si="58"/>
        <v>0</v>
      </c>
      <c r="AL147" s="2">
        <f t="shared" si="58"/>
        <v>0</v>
      </c>
      <c r="AM147" s="2">
        <f t="shared" si="58"/>
        <v>0</v>
      </c>
      <c r="AN147" s="2">
        <f t="shared" si="58"/>
        <v>0</v>
      </c>
      <c r="AO147" s="2">
        <f t="shared" si="58"/>
        <v>0</v>
      </c>
      <c r="AP147" s="2">
        <f t="shared" si="58"/>
        <v>0</v>
      </c>
      <c r="AQ147" s="2">
        <f t="shared" si="58"/>
        <v>0</v>
      </c>
      <c r="AR147" s="2">
        <f t="shared" si="58"/>
        <v>0</v>
      </c>
      <c r="AS147" s="2">
        <f t="shared" si="58"/>
        <v>0</v>
      </c>
    </row>
    <row r="148" spans="1:45" hidden="1" x14ac:dyDescent="0.25">
      <c r="A148" s="2" t="s">
        <v>75</v>
      </c>
      <c r="B148" s="2">
        <v>0</v>
      </c>
      <c r="C148" s="2">
        <f t="shared" si="58"/>
        <v>0</v>
      </c>
      <c r="D148" s="2">
        <f t="shared" si="58"/>
        <v>0</v>
      </c>
      <c r="E148" s="2">
        <f t="shared" si="58"/>
        <v>0</v>
      </c>
      <c r="F148" s="2">
        <f t="shared" si="58"/>
        <v>0</v>
      </c>
      <c r="G148" s="2">
        <f t="shared" si="58"/>
        <v>0</v>
      </c>
      <c r="H148" s="2">
        <f t="shared" si="58"/>
        <v>0</v>
      </c>
      <c r="I148" s="2">
        <f t="shared" si="58"/>
        <v>0</v>
      </c>
      <c r="J148" s="2">
        <f t="shared" si="58"/>
        <v>0</v>
      </c>
      <c r="K148" s="2">
        <f t="shared" si="58"/>
        <v>0</v>
      </c>
      <c r="L148" s="2">
        <f t="shared" si="58"/>
        <v>0</v>
      </c>
      <c r="M148" s="2">
        <f t="shared" si="58"/>
        <v>0</v>
      </c>
      <c r="N148" s="2">
        <f t="shared" si="58"/>
        <v>0</v>
      </c>
      <c r="O148" s="2">
        <f t="shared" si="58"/>
        <v>0</v>
      </c>
      <c r="P148" s="2">
        <f t="shared" si="58"/>
        <v>0</v>
      </c>
      <c r="Q148" s="2">
        <f t="shared" si="58"/>
        <v>0</v>
      </c>
      <c r="R148" s="2">
        <f t="shared" si="58"/>
        <v>0</v>
      </c>
      <c r="S148" s="2">
        <f t="shared" si="58"/>
        <v>0</v>
      </c>
      <c r="T148" s="2">
        <f t="shared" si="58"/>
        <v>0</v>
      </c>
      <c r="U148" s="2">
        <f t="shared" si="58"/>
        <v>0</v>
      </c>
      <c r="V148" s="2">
        <f t="shared" si="58"/>
        <v>0</v>
      </c>
      <c r="W148" s="2">
        <f t="shared" si="58"/>
        <v>0</v>
      </c>
      <c r="X148" s="2">
        <f t="shared" si="58"/>
        <v>0</v>
      </c>
      <c r="Y148" s="2">
        <f t="shared" si="58"/>
        <v>0</v>
      </c>
      <c r="Z148" s="2">
        <f t="shared" si="58"/>
        <v>0</v>
      </c>
      <c r="AA148" s="2">
        <f t="shared" si="58"/>
        <v>0</v>
      </c>
      <c r="AB148" s="2">
        <f t="shared" si="58"/>
        <v>0</v>
      </c>
      <c r="AC148" s="2">
        <f t="shared" si="58"/>
        <v>0</v>
      </c>
      <c r="AD148" s="2">
        <f t="shared" si="58"/>
        <v>0</v>
      </c>
      <c r="AE148" s="2">
        <f t="shared" si="58"/>
        <v>0</v>
      </c>
      <c r="AF148" s="2">
        <f t="shared" si="58"/>
        <v>0</v>
      </c>
      <c r="AG148" s="2">
        <f t="shared" si="58"/>
        <v>0</v>
      </c>
      <c r="AH148" s="2">
        <f t="shared" si="58"/>
        <v>0</v>
      </c>
      <c r="AI148" s="2">
        <f t="shared" si="58"/>
        <v>0</v>
      </c>
      <c r="AJ148" s="2">
        <f t="shared" si="58"/>
        <v>0</v>
      </c>
      <c r="AK148" s="2">
        <f t="shared" si="58"/>
        <v>0</v>
      </c>
      <c r="AL148" s="2">
        <f t="shared" si="58"/>
        <v>0</v>
      </c>
      <c r="AM148" s="2">
        <f t="shared" si="58"/>
        <v>0</v>
      </c>
      <c r="AN148" s="2">
        <f t="shared" si="58"/>
        <v>0</v>
      </c>
      <c r="AO148" s="2">
        <f t="shared" si="58"/>
        <v>0</v>
      </c>
      <c r="AP148" s="2">
        <f t="shared" si="58"/>
        <v>0</v>
      </c>
      <c r="AQ148" s="2">
        <f t="shared" si="58"/>
        <v>0</v>
      </c>
      <c r="AR148" s="2">
        <f t="shared" si="58"/>
        <v>0</v>
      </c>
      <c r="AS148" s="2">
        <f t="shared" si="58"/>
        <v>0</v>
      </c>
    </row>
    <row r="149" spans="1:45" hidden="1" x14ac:dyDescent="0.25">
      <c r="A149" s="2" t="s">
        <v>76</v>
      </c>
      <c r="B149" s="2">
        <v>0</v>
      </c>
      <c r="C149" s="2">
        <f t="shared" si="58"/>
        <v>0</v>
      </c>
      <c r="D149" s="2">
        <f t="shared" si="58"/>
        <v>0</v>
      </c>
      <c r="E149" s="2">
        <f t="shared" si="58"/>
        <v>0</v>
      </c>
      <c r="F149" s="2">
        <f t="shared" si="58"/>
        <v>0</v>
      </c>
      <c r="G149" s="2">
        <f t="shared" si="58"/>
        <v>0</v>
      </c>
      <c r="H149" s="2">
        <f t="shared" si="58"/>
        <v>0</v>
      </c>
      <c r="I149" s="2">
        <f t="shared" si="58"/>
        <v>0</v>
      </c>
      <c r="J149" s="2">
        <f t="shared" si="58"/>
        <v>0</v>
      </c>
      <c r="K149" s="2">
        <f t="shared" si="58"/>
        <v>0</v>
      </c>
      <c r="L149" s="2">
        <f t="shared" si="58"/>
        <v>0</v>
      </c>
      <c r="M149" s="2">
        <f t="shared" si="58"/>
        <v>0</v>
      </c>
      <c r="N149" s="2">
        <f t="shared" si="58"/>
        <v>0</v>
      </c>
      <c r="O149" s="2">
        <f t="shared" si="58"/>
        <v>0</v>
      </c>
      <c r="P149" s="2">
        <f t="shared" si="58"/>
        <v>0</v>
      </c>
      <c r="Q149" s="2">
        <f t="shared" si="58"/>
        <v>0</v>
      </c>
      <c r="R149" s="2">
        <f t="shared" si="58"/>
        <v>0</v>
      </c>
      <c r="S149" s="2">
        <f t="shared" si="58"/>
        <v>0</v>
      </c>
      <c r="T149" s="2">
        <f t="shared" si="58"/>
        <v>0</v>
      </c>
      <c r="U149" s="2">
        <f t="shared" si="58"/>
        <v>0</v>
      </c>
      <c r="V149" s="2">
        <f t="shared" si="58"/>
        <v>0</v>
      </c>
      <c r="W149" s="2">
        <f t="shared" si="58"/>
        <v>0</v>
      </c>
      <c r="X149" s="2">
        <f t="shared" si="58"/>
        <v>0</v>
      </c>
      <c r="Y149" s="2">
        <f t="shared" si="58"/>
        <v>0</v>
      </c>
      <c r="Z149" s="2">
        <f t="shared" si="58"/>
        <v>0</v>
      </c>
      <c r="AA149" s="2">
        <f t="shared" si="58"/>
        <v>0</v>
      </c>
      <c r="AB149" s="2">
        <f t="shared" si="58"/>
        <v>0</v>
      </c>
      <c r="AC149" s="2">
        <f t="shared" si="58"/>
        <v>0</v>
      </c>
      <c r="AD149" s="2">
        <f t="shared" si="58"/>
        <v>0</v>
      </c>
      <c r="AE149" s="2">
        <f t="shared" si="58"/>
        <v>0</v>
      </c>
      <c r="AF149" s="2">
        <f t="shared" si="58"/>
        <v>0</v>
      </c>
      <c r="AG149" s="2">
        <f t="shared" si="58"/>
        <v>0</v>
      </c>
      <c r="AH149" s="2">
        <f t="shared" si="58"/>
        <v>0</v>
      </c>
      <c r="AI149" s="2">
        <f t="shared" si="58"/>
        <v>0</v>
      </c>
      <c r="AJ149" s="2">
        <f t="shared" si="58"/>
        <v>0</v>
      </c>
      <c r="AK149" s="2">
        <f t="shared" si="58"/>
        <v>0</v>
      </c>
      <c r="AL149" s="2">
        <f t="shared" si="58"/>
        <v>0</v>
      </c>
      <c r="AM149" s="2">
        <f t="shared" si="58"/>
        <v>0</v>
      </c>
      <c r="AN149" s="2">
        <f t="shared" si="58"/>
        <v>0</v>
      </c>
      <c r="AO149" s="2">
        <f t="shared" si="58"/>
        <v>0</v>
      </c>
      <c r="AP149" s="2">
        <f t="shared" si="58"/>
        <v>0</v>
      </c>
      <c r="AQ149" s="2">
        <f t="shared" si="58"/>
        <v>0</v>
      </c>
      <c r="AR149" s="2">
        <f t="shared" si="58"/>
        <v>0</v>
      </c>
      <c r="AS149" s="2">
        <f t="shared" si="58"/>
        <v>0</v>
      </c>
    </row>
    <row r="150" spans="1:45" hidden="1" x14ac:dyDescent="0.25">
      <c r="A150" s="2" t="s">
        <v>77</v>
      </c>
      <c r="B150" s="2">
        <v>0</v>
      </c>
      <c r="C150" s="2">
        <f t="shared" si="58"/>
        <v>0</v>
      </c>
      <c r="D150" s="2">
        <f t="shared" si="58"/>
        <v>0</v>
      </c>
      <c r="E150" s="2">
        <f t="shared" si="58"/>
        <v>0</v>
      </c>
      <c r="F150" s="2">
        <f t="shared" si="58"/>
        <v>0</v>
      </c>
      <c r="G150" s="2">
        <f t="shared" si="58"/>
        <v>0</v>
      </c>
      <c r="H150" s="2">
        <f t="shared" si="58"/>
        <v>0</v>
      </c>
      <c r="I150" s="2">
        <f t="shared" si="58"/>
        <v>0</v>
      </c>
      <c r="J150" s="2">
        <f t="shared" si="58"/>
        <v>0</v>
      </c>
      <c r="K150" s="2">
        <f t="shared" si="58"/>
        <v>0</v>
      </c>
      <c r="L150" s="2">
        <f t="shared" si="58"/>
        <v>0</v>
      </c>
      <c r="M150" s="2">
        <f t="shared" si="58"/>
        <v>0</v>
      </c>
      <c r="N150" s="2">
        <f t="shared" si="58"/>
        <v>0</v>
      </c>
      <c r="O150" s="2">
        <f t="shared" si="58"/>
        <v>0</v>
      </c>
      <c r="P150" s="2">
        <f t="shared" si="58"/>
        <v>0</v>
      </c>
      <c r="Q150" s="2">
        <f t="shared" si="58"/>
        <v>0</v>
      </c>
      <c r="R150" s="2">
        <f t="shared" si="58"/>
        <v>0</v>
      </c>
      <c r="S150" s="2">
        <f t="shared" si="58"/>
        <v>0</v>
      </c>
      <c r="T150" s="2">
        <f t="shared" si="58"/>
        <v>0</v>
      </c>
      <c r="U150" s="2">
        <f t="shared" si="58"/>
        <v>0</v>
      </c>
      <c r="V150" s="2">
        <f t="shared" si="58"/>
        <v>0</v>
      </c>
      <c r="W150" s="2">
        <f t="shared" si="58"/>
        <v>0</v>
      </c>
      <c r="X150" s="2">
        <f t="shared" si="58"/>
        <v>0</v>
      </c>
      <c r="Y150" s="2">
        <f t="shared" si="58"/>
        <v>0</v>
      </c>
      <c r="Z150" s="2">
        <f t="shared" si="58"/>
        <v>0</v>
      </c>
      <c r="AA150" s="2">
        <f t="shared" si="58"/>
        <v>0</v>
      </c>
      <c r="AB150" s="2">
        <f t="shared" si="58"/>
        <v>0</v>
      </c>
      <c r="AC150" s="2">
        <f t="shared" si="58"/>
        <v>0</v>
      </c>
      <c r="AD150" s="2">
        <f t="shared" si="58"/>
        <v>0</v>
      </c>
      <c r="AE150" s="2">
        <f t="shared" si="58"/>
        <v>0</v>
      </c>
      <c r="AF150" s="2">
        <f t="shared" si="58"/>
        <v>0</v>
      </c>
      <c r="AG150" s="2">
        <f t="shared" si="58"/>
        <v>0</v>
      </c>
      <c r="AH150" s="2">
        <f t="shared" si="58"/>
        <v>0</v>
      </c>
      <c r="AI150" s="2">
        <f t="shared" si="58"/>
        <v>0</v>
      </c>
      <c r="AJ150" s="2">
        <f t="shared" si="58"/>
        <v>0</v>
      </c>
      <c r="AK150" s="2">
        <f t="shared" si="58"/>
        <v>0</v>
      </c>
      <c r="AL150" s="2">
        <f t="shared" si="58"/>
        <v>0</v>
      </c>
      <c r="AM150" s="2">
        <f t="shared" si="58"/>
        <v>0</v>
      </c>
      <c r="AN150" s="2">
        <f t="shared" si="58"/>
        <v>0</v>
      </c>
      <c r="AO150" s="2">
        <f t="shared" si="58"/>
        <v>0</v>
      </c>
      <c r="AP150" s="2">
        <f t="shared" si="58"/>
        <v>0</v>
      </c>
      <c r="AQ150" s="2">
        <f t="shared" si="58"/>
        <v>0</v>
      </c>
      <c r="AR150" s="2">
        <f t="shared" si="58"/>
        <v>0</v>
      </c>
      <c r="AS150" s="2">
        <f t="shared" si="58"/>
        <v>0</v>
      </c>
    </row>
    <row r="151" spans="1:45" hidden="1" x14ac:dyDescent="0.25">
      <c r="A151" s="2" t="s">
        <v>78</v>
      </c>
      <c r="C151" s="2">
        <f>SUM(C140:C150)</f>
        <v>968.02013999999997</v>
      </c>
      <c r="D151" s="2">
        <f t="shared" ref="D151:AS151" si="59">SUM(D140:D150)</f>
        <v>974.22759299999996</v>
      </c>
      <c r="E151" s="2">
        <f>SUM(E140:E150)</f>
        <v>946.72582599999998</v>
      </c>
      <c r="F151" s="2">
        <f>SUM(F140:F150)</f>
        <v>943.57519500000012</v>
      </c>
      <c r="G151" s="2">
        <f t="shared" si="59"/>
        <v>948.74578099999997</v>
      </c>
      <c r="H151" s="2">
        <f>SUM(H140:H150)</f>
        <v>964.82219499999997</v>
      </c>
      <c r="I151" s="2">
        <f>SUM(I140:I150)</f>
        <v>938.52020500000003</v>
      </c>
      <c r="J151" s="2">
        <f>SUM(J140:J150)</f>
        <v>999.75807299999997</v>
      </c>
      <c r="K151" s="2">
        <f t="shared" si="59"/>
        <v>961.69122700000003</v>
      </c>
      <c r="L151" s="2">
        <f>SUM(L140:L150)</f>
        <v>998.79100099999994</v>
      </c>
      <c r="M151" s="2">
        <f>SUM(M140:M150)</f>
        <v>988.31163099999981</v>
      </c>
      <c r="N151" s="2">
        <f t="shared" si="59"/>
        <v>892.34506500000009</v>
      </c>
      <c r="O151" s="2">
        <f t="shared" si="59"/>
        <v>891.65336200000002</v>
      </c>
      <c r="P151" s="2">
        <f t="shared" si="59"/>
        <v>892.23412099999996</v>
      </c>
      <c r="Q151" s="2">
        <f t="shared" si="59"/>
        <v>979.37788400000011</v>
      </c>
      <c r="R151" s="2">
        <f>SUM(R140:R150)</f>
        <v>960.83910000000014</v>
      </c>
      <c r="S151" s="2">
        <f>SUM(S140:S150)</f>
        <v>913.66206999999986</v>
      </c>
      <c r="T151" s="2">
        <f t="shared" si="59"/>
        <v>918.91767600000003</v>
      </c>
      <c r="U151" s="2">
        <f t="shared" si="59"/>
        <v>937.71885899999995</v>
      </c>
      <c r="V151" s="2">
        <f>SUM(V140:V150)</f>
        <v>967.43820200000005</v>
      </c>
      <c r="W151" s="2">
        <f t="shared" si="59"/>
        <v>962.00709299999994</v>
      </c>
      <c r="X151" s="2">
        <f t="shared" si="59"/>
        <v>916.46680200000003</v>
      </c>
      <c r="Y151" s="2">
        <f t="shared" si="59"/>
        <v>968.68699400000003</v>
      </c>
      <c r="Z151" s="2">
        <f t="shared" si="59"/>
        <v>970.83149800000001</v>
      </c>
      <c r="AA151" s="2">
        <f>SUM(AA140:AA150)</f>
        <v>991.07866300000001</v>
      </c>
      <c r="AB151" s="2">
        <f t="shared" si="59"/>
        <v>965.27123599999993</v>
      </c>
      <c r="AC151" s="2">
        <f t="shared" si="59"/>
        <v>948.74100199999998</v>
      </c>
      <c r="AD151" s="2">
        <f t="shared" si="59"/>
        <v>981.94786099999999</v>
      </c>
      <c r="AE151" s="2">
        <f t="shared" si="59"/>
        <v>1005.327572</v>
      </c>
      <c r="AF151" s="2">
        <f t="shared" si="59"/>
        <v>949.54774200000008</v>
      </c>
      <c r="AG151" s="2">
        <f t="shared" si="59"/>
        <v>978.33186300000011</v>
      </c>
      <c r="AH151" s="2">
        <f t="shared" si="59"/>
        <v>932.0242649999999</v>
      </c>
      <c r="AI151" s="2">
        <f t="shared" si="59"/>
        <v>968.57553600000006</v>
      </c>
      <c r="AJ151" s="2">
        <f>SUM(AJ140:AJ150)</f>
        <v>936.36528500000009</v>
      </c>
      <c r="AK151" s="2">
        <f t="shared" si="59"/>
        <v>907.93925200000001</v>
      </c>
      <c r="AL151" s="2">
        <f t="shared" si="59"/>
        <v>990.78334199999995</v>
      </c>
      <c r="AM151" s="2">
        <f t="shared" si="59"/>
        <v>892.12215100000003</v>
      </c>
      <c r="AN151" s="2">
        <f t="shared" si="59"/>
        <v>0</v>
      </c>
      <c r="AO151" s="2">
        <f t="shared" si="59"/>
        <v>910.65366800000004</v>
      </c>
      <c r="AP151" s="2">
        <f t="shared" si="59"/>
        <v>932.82533199999989</v>
      </c>
      <c r="AQ151" s="2">
        <f t="shared" si="59"/>
        <v>0</v>
      </c>
      <c r="AR151" s="2">
        <f t="shared" si="59"/>
        <v>922.86992700000008</v>
      </c>
      <c r="AS151" s="2">
        <f t="shared" si="59"/>
        <v>944.89023400000008</v>
      </c>
    </row>
    <row r="152" spans="1:45" hidden="1" x14ac:dyDescent="0.25"/>
    <row r="153" spans="1:45" hidden="1" x14ac:dyDescent="0.25">
      <c r="A153" s="46" t="s">
        <v>105</v>
      </c>
    </row>
    <row r="154" spans="1:45" hidden="1" x14ac:dyDescent="0.25">
      <c r="A154" s="2" t="s">
        <v>67</v>
      </c>
      <c r="B154" s="2">
        <v>802.82</v>
      </c>
      <c r="C154" s="2">
        <f t="shared" ref="C154:AS159" si="60">C5/100*$B154</f>
        <v>719.80841199999998</v>
      </c>
      <c r="D154" s="2">
        <f t="shared" si="60"/>
        <v>712.10134000000005</v>
      </c>
      <c r="E154" s="2">
        <f t="shared" si="60"/>
        <v>732.97465999999997</v>
      </c>
      <c r="F154" s="2">
        <f t="shared" si="60"/>
        <v>736.02537600000005</v>
      </c>
      <c r="G154" s="2">
        <f t="shared" si="60"/>
        <v>736.10565799999995</v>
      </c>
      <c r="H154" s="2">
        <f t="shared" si="60"/>
        <v>741.48455200000001</v>
      </c>
      <c r="I154" s="2">
        <f t="shared" si="60"/>
        <v>759.30715600000008</v>
      </c>
      <c r="J154" s="2">
        <f t="shared" si="60"/>
        <v>711.29851999999994</v>
      </c>
      <c r="K154" s="2">
        <f t="shared" si="60"/>
        <v>743.090192</v>
      </c>
      <c r="L154" s="2">
        <f t="shared" si="60"/>
        <v>686.65194600000007</v>
      </c>
      <c r="M154" s="2">
        <f t="shared" si="60"/>
        <v>707.76611200000002</v>
      </c>
      <c r="N154" s="2">
        <f t="shared" si="60"/>
        <v>801.21436000000006</v>
      </c>
      <c r="O154" s="2">
        <f t="shared" si="60"/>
        <v>801.21436000000006</v>
      </c>
      <c r="P154" s="2">
        <f t="shared" si="60"/>
        <v>801.45520599999998</v>
      </c>
      <c r="Q154" s="2">
        <f t="shared" si="60"/>
        <v>737.309888</v>
      </c>
      <c r="R154" s="2">
        <f t="shared" si="60"/>
        <v>745.57893400000012</v>
      </c>
      <c r="S154" s="2">
        <f t="shared" si="60"/>
        <v>780.66216799999995</v>
      </c>
      <c r="T154" s="2">
        <f t="shared" si="60"/>
        <v>780.1001940000001</v>
      </c>
      <c r="U154" s="2">
        <f t="shared" si="60"/>
        <v>749.75359800000001</v>
      </c>
      <c r="V154" s="2">
        <f t="shared" si="60"/>
        <v>737.47045200000002</v>
      </c>
      <c r="W154" s="2">
        <f t="shared" si="60"/>
        <v>753.04516000000001</v>
      </c>
      <c r="X154" s="2">
        <f t="shared" si="60"/>
        <v>776.32694000000015</v>
      </c>
      <c r="Y154" s="2">
        <f t="shared" si="60"/>
        <v>742.287372</v>
      </c>
      <c r="Z154" s="2">
        <f t="shared" si="60"/>
        <v>741.08314200000007</v>
      </c>
      <c r="AA154" s="2">
        <f t="shared" si="60"/>
        <v>725.02674200000001</v>
      </c>
      <c r="AB154" s="2">
        <f t="shared" si="60"/>
        <v>741.24370600000009</v>
      </c>
      <c r="AC154" s="2">
        <f t="shared" si="60"/>
        <v>738.43383600000004</v>
      </c>
      <c r="AD154" s="2">
        <f t="shared" si="60"/>
        <v>728.47886800000003</v>
      </c>
      <c r="AE154" s="2">
        <f t="shared" si="60"/>
        <v>704.15342200000009</v>
      </c>
      <c r="AF154" s="2">
        <f t="shared" si="60"/>
        <v>722.85912800000017</v>
      </c>
      <c r="AG154" s="2">
        <f t="shared" si="60"/>
        <v>723.09997399999997</v>
      </c>
      <c r="AH154" s="2">
        <f t="shared" si="60"/>
        <v>749.03106000000002</v>
      </c>
      <c r="AI154" s="2">
        <f t="shared" si="60"/>
        <v>742.36765400000002</v>
      </c>
      <c r="AJ154" s="2">
        <f t="shared" si="60"/>
        <v>760.91279600000007</v>
      </c>
      <c r="AK154" s="2">
        <f t="shared" si="60"/>
        <v>787.72698400000013</v>
      </c>
      <c r="AL154" s="2">
        <f t="shared" si="60"/>
        <v>696.76747799999998</v>
      </c>
      <c r="AM154" s="2">
        <f t="shared" si="60"/>
        <v>800.73266799999999</v>
      </c>
      <c r="AN154" s="2">
        <f t="shared" si="60"/>
        <v>0</v>
      </c>
      <c r="AO154" s="2">
        <f t="shared" si="60"/>
        <v>781.62555200000008</v>
      </c>
      <c r="AP154" s="2">
        <f t="shared" si="60"/>
        <v>754.6508</v>
      </c>
      <c r="AQ154" s="2">
        <f t="shared" si="60"/>
        <v>0</v>
      </c>
      <c r="AR154" s="2">
        <f t="shared" si="60"/>
        <v>768.70015000000001</v>
      </c>
      <c r="AS154" s="2">
        <f t="shared" si="60"/>
        <v>747.50570200000004</v>
      </c>
    </row>
    <row r="155" spans="1:45" hidden="1" x14ac:dyDescent="0.25">
      <c r="A155" s="2" t="s">
        <v>68</v>
      </c>
      <c r="B155" s="2">
        <v>1429.12</v>
      </c>
      <c r="C155" s="2">
        <f t="shared" si="60"/>
        <v>121.189376</v>
      </c>
      <c r="D155" s="2">
        <f t="shared" si="60"/>
        <v>119.18860799999999</v>
      </c>
      <c r="E155" s="2">
        <f t="shared" si="60"/>
        <v>103.03955199999999</v>
      </c>
      <c r="F155" s="2">
        <f t="shared" si="60"/>
        <v>113.90086399999998</v>
      </c>
      <c r="G155" s="2">
        <f t="shared" si="60"/>
        <v>115.90163199999998</v>
      </c>
      <c r="H155" s="2">
        <f t="shared" si="60"/>
        <v>69.741055999999986</v>
      </c>
      <c r="I155" s="2">
        <f t="shared" si="60"/>
        <v>54.735295999999998</v>
      </c>
      <c r="J155" s="2">
        <f t="shared" si="60"/>
        <v>108.898944</v>
      </c>
      <c r="K155" s="2">
        <f t="shared" si="60"/>
        <v>67.168639999999996</v>
      </c>
      <c r="L155" s="2">
        <f t="shared" si="60"/>
        <v>183.21318399999998</v>
      </c>
      <c r="M155" s="2">
        <f t="shared" si="60"/>
        <v>134.194368</v>
      </c>
      <c r="N155" s="2">
        <f t="shared" si="60"/>
        <v>0.8574719999999999</v>
      </c>
      <c r="O155" s="2">
        <f t="shared" si="60"/>
        <v>0.42873599999999995</v>
      </c>
      <c r="P155" s="2">
        <f t="shared" si="60"/>
        <v>0.71455999999999997</v>
      </c>
      <c r="Q155" s="2">
        <f t="shared" si="60"/>
        <v>64.02457600000001</v>
      </c>
      <c r="R155" s="2">
        <f t="shared" si="60"/>
        <v>55.449855999999997</v>
      </c>
      <c r="S155" s="2">
        <f t="shared" si="60"/>
        <v>35.156351999999998</v>
      </c>
      <c r="T155" s="2">
        <f t="shared" si="60"/>
        <v>29.725695999999996</v>
      </c>
      <c r="U155" s="2">
        <f t="shared" si="60"/>
        <v>93.178623999999985</v>
      </c>
      <c r="V155" s="2">
        <f t="shared" si="60"/>
        <v>80.888192000000004</v>
      </c>
      <c r="W155" s="2">
        <f t="shared" si="60"/>
        <v>44.302719999999994</v>
      </c>
      <c r="X155" s="2">
        <f t="shared" si="60"/>
        <v>32.726847999999997</v>
      </c>
      <c r="Y155" s="2">
        <f t="shared" si="60"/>
        <v>57.879359999999998</v>
      </c>
      <c r="Z155" s="2">
        <f t="shared" si="60"/>
        <v>57.736447999999996</v>
      </c>
      <c r="AA155" s="2">
        <f t="shared" si="60"/>
        <v>76.457919999999987</v>
      </c>
      <c r="AB155" s="2">
        <f t="shared" si="60"/>
        <v>72.599295999999995</v>
      </c>
      <c r="AC155" s="2">
        <f t="shared" si="60"/>
        <v>79.601983999999987</v>
      </c>
      <c r="AD155" s="2">
        <f t="shared" si="60"/>
        <v>80.173631999999998</v>
      </c>
      <c r="AE155" s="2">
        <f t="shared" si="60"/>
        <v>111.757184</v>
      </c>
      <c r="AF155" s="2">
        <f t="shared" si="60"/>
        <v>130.90739199999999</v>
      </c>
      <c r="AG155" s="2">
        <f t="shared" si="60"/>
        <v>89.32</v>
      </c>
      <c r="AH155" s="2">
        <f t="shared" si="60"/>
        <v>89.32</v>
      </c>
      <c r="AI155" s="2">
        <f t="shared" si="60"/>
        <v>63.881663999999994</v>
      </c>
      <c r="AJ155" s="2">
        <f t="shared" si="60"/>
        <v>50.876671999999999</v>
      </c>
      <c r="AK155" s="2">
        <f t="shared" si="60"/>
        <v>22.008447999999998</v>
      </c>
      <c r="AL155" s="2">
        <f t="shared" si="60"/>
        <v>154.48787199999998</v>
      </c>
      <c r="AM155" s="2">
        <f t="shared" si="60"/>
        <v>1.1432959999999999</v>
      </c>
      <c r="AN155" s="2">
        <f t="shared" si="60"/>
        <v>0</v>
      </c>
      <c r="AO155" s="2">
        <f t="shared" si="60"/>
        <v>34.727615999999998</v>
      </c>
      <c r="AP155" s="2">
        <f t="shared" si="60"/>
        <v>81.174015999999995</v>
      </c>
      <c r="AQ155" s="2">
        <f t="shared" si="60"/>
        <v>0</v>
      </c>
      <c r="AR155" s="2">
        <f t="shared" si="60"/>
        <v>56.021503999999993</v>
      </c>
      <c r="AS155" s="2">
        <f t="shared" si="60"/>
        <v>85.747199999999992</v>
      </c>
    </row>
    <row r="156" spans="1:45" hidden="1" x14ac:dyDescent="0.25">
      <c r="A156" s="2" t="s">
        <v>69</v>
      </c>
      <c r="B156" s="2">
        <v>2043.71</v>
      </c>
      <c r="C156" s="2">
        <f t="shared" si="60"/>
        <v>25.955116999999998</v>
      </c>
      <c r="D156" s="2">
        <f t="shared" si="60"/>
        <v>34.538698999999994</v>
      </c>
      <c r="E156" s="2">
        <f t="shared" si="60"/>
        <v>16.349679999999999</v>
      </c>
      <c r="F156" s="2">
        <f t="shared" si="60"/>
        <v>0.20437100000000002</v>
      </c>
      <c r="G156" s="2">
        <f t="shared" si="60"/>
        <v>2.8611940000000007</v>
      </c>
      <c r="H156" s="2">
        <f t="shared" si="60"/>
        <v>37.399892999999999</v>
      </c>
      <c r="I156" s="2">
        <f t="shared" si="60"/>
        <v>18.802132</v>
      </c>
      <c r="J156" s="2">
        <f t="shared" si="60"/>
        <v>57.223879999999994</v>
      </c>
      <c r="K156" s="2">
        <f t="shared" si="60"/>
        <v>34.129956999999997</v>
      </c>
      <c r="L156" s="2">
        <f t="shared" si="60"/>
        <v>29.838166000000001</v>
      </c>
      <c r="M156" s="2">
        <f t="shared" si="60"/>
        <v>40.874200000000002</v>
      </c>
      <c r="N156" s="2">
        <f t="shared" si="60"/>
        <v>0.20437100000000002</v>
      </c>
      <c r="O156" s="2">
        <f t="shared" si="60"/>
        <v>0</v>
      </c>
      <c r="P156" s="2">
        <f t="shared" si="60"/>
        <v>0</v>
      </c>
      <c r="Q156" s="2">
        <f t="shared" si="60"/>
        <v>49.049040000000005</v>
      </c>
      <c r="R156" s="2">
        <f t="shared" si="60"/>
        <v>47.414071999999997</v>
      </c>
      <c r="S156" s="2">
        <f t="shared" si="60"/>
        <v>3.2699360000000004</v>
      </c>
      <c r="T156" s="2">
        <f t="shared" si="60"/>
        <v>8.7879529999999999</v>
      </c>
      <c r="U156" s="2">
        <f t="shared" si="60"/>
        <v>1.6349680000000002</v>
      </c>
      <c r="V156" s="2">
        <f t="shared" si="60"/>
        <v>32.699359999999999</v>
      </c>
      <c r="W156" s="2">
        <f t="shared" si="60"/>
        <v>40.261086999999996</v>
      </c>
      <c r="X156" s="2">
        <f t="shared" si="60"/>
        <v>9.8098079999999985</v>
      </c>
      <c r="Y156" s="2">
        <f t="shared" si="60"/>
        <v>40.261086999999996</v>
      </c>
      <c r="Z156" s="2">
        <f t="shared" si="60"/>
        <v>47.618443000000006</v>
      </c>
      <c r="AA156" s="2">
        <f t="shared" si="60"/>
        <v>65.603090999999992</v>
      </c>
      <c r="AB156" s="2">
        <f t="shared" si="60"/>
        <v>38.830489999999998</v>
      </c>
      <c r="AC156" s="2">
        <f t="shared" si="60"/>
        <v>25.750745999999999</v>
      </c>
      <c r="AD156" s="2">
        <f t="shared" si="60"/>
        <v>43.122280999999994</v>
      </c>
      <c r="AE156" s="2">
        <f t="shared" si="60"/>
        <v>58.654477</v>
      </c>
      <c r="AF156" s="2">
        <f t="shared" si="60"/>
        <v>2.0437099999999999</v>
      </c>
      <c r="AG156" s="2">
        <f t="shared" si="60"/>
        <v>44.144136000000003</v>
      </c>
      <c r="AH156" s="2">
        <f t="shared" si="60"/>
        <v>1.021855</v>
      </c>
      <c r="AI156" s="2">
        <f t="shared" si="60"/>
        <v>41.487313</v>
      </c>
      <c r="AJ156" s="2">
        <f t="shared" si="60"/>
        <v>17.780276999999998</v>
      </c>
      <c r="AK156" s="2">
        <f t="shared" si="60"/>
        <v>5.7223880000000014</v>
      </c>
      <c r="AL156" s="2">
        <f t="shared" si="60"/>
        <v>34.947441000000005</v>
      </c>
      <c r="AM156" s="2">
        <f t="shared" si="60"/>
        <v>0.20437100000000002</v>
      </c>
      <c r="AN156" s="2">
        <f t="shared" si="60"/>
        <v>0</v>
      </c>
      <c r="AO156" s="2">
        <f t="shared" si="60"/>
        <v>2.4524519999999996</v>
      </c>
      <c r="AP156" s="2">
        <f t="shared" si="60"/>
        <v>3.6786780000000001</v>
      </c>
      <c r="AQ156" s="2">
        <f t="shared" si="60"/>
        <v>0</v>
      </c>
      <c r="AR156" s="2">
        <f t="shared" si="60"/>
        <v>4.0874199999999998</v>
      </c>
      <c r="AS156" s="2">
        <f t="shared" si="60"/>
        <v>16.145309000000001</v>
      </c>
    </row>
    <row r="157" spans="1:45" hidden="1" x14ac:dyDescent="0.25">
      <c r="A157" s="2" t="s">
        <v>70</v>
      </c>
      <c r="B157" s="2">
        <v>2648.83</v>
      </c>
      <c r="C157" s="2">
        <f t="shared" si="60"/>
        <v>1.3244149999999999</v>
      </c>
      <c r="D157" s="2">
        <f t="shared" si="60"/>
        <v>5.2976599999999996</v>
      </c>
      <c r="E157" s="2">
        <f t="shared" si="60"/>
        <v>0.52976599999999996</v>
      </c>
      <c r="F157" s="2">
        <f t="shared" si="60"/>
        <v>0</v>
      </c>
      <c r="G157" s="2">
        <f t="shared" si="60"/>
        <v>0</v>
      </c>
      <c r="H157" s="2">
        <f t="shared" si="60"/>
        <v>9.5357880000000002</v>
      </c>
      <c r="I157" s="2">
        <f t="shared" si="60"/>
        <v>5.0327770000000003</v>
      </c>
      <c r="J157" s="2">
        <f t="shared" si="60"/>
        <v>9.5357880000000002</v>
      </c>
      <c r="K157" s="2">
        <f t="shared" si="60"/>
        <v>8.4762559999999993</v>
      </c>
      <c r="L157" s="2">
        <f t="shared" si="60"/>
        <v>1.0595319999999999</v>
      </c>
      <c r="M157" s="2">
        <f t="shared" si="60"/>
        <v>4.2381279999999997</v>
      </c>
      <c r="N157" s="2">
        <f t="shared" si="60"/>
        <v>0</v>
      </c>
      <c r="O157" s="2">
        <f t="shared" si="60"/>
        <v>0</v>
      </c>
      <c r="P157" s="2">
        <f t="shared" si="60"/>
        <v>0</v>
      </c>
      <c r="Q157" s="2">
        <f t="shared" si="60"/>
        <v>13.244149999999999</v>
      </c>
      <c r="R157" s="2">
        <f t="shared" si="60"/>
        <v>6.8869579999999999</v>
      </c>
      <c r="S157" s="2">
        <f t="shared" si="60"/>
        <v>1.5892979999999999</v>
      </c>
      <c r="T157" s="2">
        <f t="shared" si="60"/>
        <v>5.0327770000000003</v>
      </c>
      <c r="U157" s="2">
        <f t="shared" si="60"/>
        <v>0</v>
      </c>
      <c r="V157" s="2">
        <f t="shared" si="60"/>
        <v>11.125086</v>
      </c>
      <c r="W157" s="2">
        <f t="shared" si="60"/>
        <v>12.979267</v>
      </c>
      <c r="X157" s="2">
        <f t="shared" si="60"/>
        <v>2.383947</v>
      </c>
      <c r="Y157" s="2">
        <f t="shared" si="60"/>
        <v>13.773916</v>
      </c>
      <c r="Z157" s="2">
        <f t="shared" si="60"/>
        <v>14.303682</v>
      </c>
      <c r="AA157" s="2">
        <f t="shared" si="60"/>
        <v>15.628096999999999</v>
      </c>
      <c r="AB157" s="2">
        <f t="shared" si="60"/>
        <v>8.7411390000000004</v>
      </c>
      <c r="AC157" s="2">
        <f t="shared" si="60"/>
        <v>3.1785959999999998</v>
      </c>
      <c r="AD157" s="2">
        <f t="shared" si="60"/>
        <v>17.217395</v>
      </c>
      <c r="AE157" s="2">
        <f t="shared" si="60"/>
        <v>14.038798999999999</v>
      </c>
      <c r="AF157" s="2">
        <f t="shared" si="60"/>
        <v>0</v>
      </c>
      <c r="AG157" s="2">
        <f t="shared" si="60"/>
        <v>10.330437</v>
      </c>
      <c r="AH157" s="2">
        <f t="shared" si="60"/>
        <v>0</v>
      </c>
      <c r="AI157" s="2">
        <f t="shared" si="60"/>
        <v>11.654852</v>
      </c>
      <c r="AJ157" s="2">
        <f t="shared" si="60"/>
        <v>7.4167240000000012</v>
      </c>
      <c r="AK157" s="2">
        <f t="shared" si="60"/>
        <v>0.79464899999999994</v>
      </c>
      <c r="AL157" s="2">
        <f t="shared" si="60"/>
        <v>3.443479</v>
      </c>
      <c r="AM157" s="2">
        <f t="shared" si="60"/>
        <v>0</v>
      </c>
      <c r="AN157" s="2">
        <f t="shared" si="60"/>
        <v>0</v>
      </c>
      <c r="AO157" s="2">
        <f t="shared" si="60"/>
        <v>0.26488299999999998</v>
      </c>
      <c r="AP157" s="2">
        <f t="shared" si="60"/>
        <v>0.26488299999999998</v>
      </c>
      <c r="AQ157" s="2">
        <f t="shared" si="60"/>
        <v>0</v>
      </c>
      <c r="AR157" s="2">
        <f t="shared" si="60"/>
        <v>0.79464899999999994</v>
      </c>
      <c r="AS157" s="2">
        <f t="shared" si="60"/>
        <v>0.79464899999999994</v>
      </c>
    </row>
    <row r="158" spans="1:45" hidden="1" x14ac:dyDescent="0.25">
      <c r="A158" s="2" t="s">
        <v>71</v>
      </c>
      <c r="B158" s="2">
        <v>2658.45</v>
      </c>
      <c r="C158" s="2">
        <f t="shared" si="60"/>
        <v>1.06338</v>
      </c>
      <c r="D158" s="2">
        <f t="shared" si="60"/>
        <v>7.7095049999999992</v>
      </c>
      <c r="E158" s="2">
        <f t="shared" si="60"/>
        <v>0.265845</v>
      </c>
      <c r="F158" s="2">
        <f t="shared" si="60"/>
        <v>0</v>
      </c>
      <c r="G158" s="2">
        <f t="shared" si="60"/>
        <v>0</v>
      </c>
      <c r="H158" s="2">
        <f t="shared" si="60"/>
        <v>11.697179999999999</v>
      </c>
      <c r="I158" s="2">
        <f t="shared" si="60"/>
        <v>5.8485899999999997</v>
      </c>
      <c r="J158" s="2">
        <f t="shared" si="60"/>
        <v>13.823939999999999</v>
      </c>
      <c r="K158" s="2">
        <f t="shared" si="60"/>
        <v>11.165489999999998</v>
      </c>
      <c r="L158" s="2">
        <f t="shared" si="60"/>
        <v>0.79753499999999988</v>
      </c>
      <c r="M158" s="2">
        <f t="shared" si="60"/>
        <v>3.7218300000000002</v>
      </c>
      <c r="N158" s="2">
        <f t="shared" si="60"/>
        <v>0</v>
      </c>
      <c r="O158" s="2">
        <f t="shared" si="60"/>
        <v>0</v>
      </c>
      <c r="P158" s="2">
        <f t="shared" si="60"/>
        <v>0</v>
      </c>
      <c r="Q158" s="2">
        <f t="shared" si="60"/>
        <v>17.811615</v>
      </c>
      <c r="R158" s="2">
        <f t="shared" si="60"/>
        <v>8.5070399999999999</v>
      </c>
      <c r="S158" s="2">
        <f t="shared" si="60"/>
        <v>0.79753499999999988</v>
      </c>
      <c r="T158" s="2">
        <f t="shared" si="60"/>
        <v>2.3926049999999996</v>
      </c>
      <c r="U158" s="2">
        <f t="shared" si="60"/>
        <v>0</v>
      </c>
      <c r="V158" s="2">
        <f t="shared" si="60"/>
        <v>10.10211</v>
      </c>
      <c r="W158" s="2">
        <f t="shared" si="60"/>
        <v>15.950699999999999</v>
      </c>
      <c r="X158" s="2">
        <f t="shared" si="60"/>
        <v>2.9242949999999999</v>
      </c>
      <c r="Y158" s="2">
        <f t="shared" si="60"/>
        <v>17.01408</v>
      </c>
      <c r="Z158" s="2">
        <f t="shared" si="60"/>
        <v>14.089784999999999</v>
      </c>
      <c r="AA158" s="2">
        <f t="shared" si="60"/>
        <v>10.633799999999999</v>
      </c>
      <c r="AB158" s="2">
        <f t="shared" si="60"/>
        <v>8.5070399999999999</v>
      </c>
      <c r="AC158" s="2">
        <f t="shared" si="60"/>
        <v>7.4436600000000004</v>
      </c>
      <c r="AD158" s="2">
        <f t="shared" si="60"/>
        <v>16.216544999999996</v>
      </c>
      <c r="AE158" s="2">
        <f t="shared" si="60"/>
        <v>16.482389999999999</v>
      </c>
      <c r="AF158" s="2">
        <f t="shared" si="60"/>
        <v>0</v>
      </c>
      <c r="AG158" s="2">
        <f t="shared" si="60"/>
        <v>15.684854999999999</v>
      </c>
      <c r="AH158" s="2">
        <f t="shared" si="60"/>
        <v>0</v>
      </c>
      <c r="AI158" s="2">
        <f t="shared" si="60"/>
        <v>13.292249999999999</v>
      </c>
      <c r="AJ158" s="2">
        <f t="shared" si="60"/>
        <v>6.3802799999999991</v>
      </c>
      <c r="AK158" s="2">
        <f t="shared" si="60"/>
        <v>0.53169</v>
      </c>
      <c r="AL158" s="2">
        <f t="shared" si="60"/>
        <v>4.5193649999999996</v>
      </c>
      <c r="AM158" s="2">
        <f t="shared" si="60"/>
        <v>0</v>
      </c>
      <c r="AN158" s="2">
        <f t="shared" si="60"/>
        <v>0</v>
      </c>
      <c r="AO158" s="2">
        <f t="shared" si="60"/>
        <v>0.265845</v>
      </c>
      <c r="AP158" s="2">
        <f t="shared" si="60"/>
        <v>0.265845</v>
      </c>
      <c r="AQ158" s="2">
        <f t="shared" si="60"/>
        <v>0</v>
      </c>
      <c r="AR158" s="2">
        <f t="shared" si="60"/>
        <v>0.79753499999999988</v>
      </c>
      <c r="AS158" s="2">
        <f t="shared" si="60"/>
        <v>1.06338</v>
      </c>
    </row>
    <row r="159" spans="1:45" hidden="1" x14ac:dyDescent="0.25">
      <c r="A159" s="2" t="s">
        <v>72</v>
      </c>
      <c r="B159" s="2">
        <v>3265.54</v>
      </c>
      <c r="C159" s="2">
        <f t="shared" si="60"/>
        <v>2.6124320000000001</v>
      </c>
      <c r="D159" s="2">
        <f t="shared" si="60"/>
        <v>0</v>
      </c>
      <c r="E159" s="2">
        <f t="shared" si="60"/>
        <v>0</v>
      </c>
      <c r="F159" s="2">
        <f t="shared" si="60"/>
        <v>0</v>
      </c>
      <c r="G159" s="2">
        <f t="shared" si="60"/>
        <v>0</v>
      </c>
      <c r="H159" s="2">
        <f t="shared" si="60"/>
        <v>0</v>
      </c>
      <c r="I159" s="2">
        <f t="shared" si="60"/>
        <v>1.306216</v>
      </c>
      <c r="J159" s="2">
        <f t="shared" si="60"/>
        <v>1.306216</v>
      </c>
      <c r="K159" s="2">
        <f t="shared" si="60"/>
        <v>2.2858780000000003</v>
      </c>
      <c r="L159" s="2">
        <f t="shared" si="60"/>
        <v>0</v>
      </c>
      <c r="M159" s="2">
        <f t="shared" si="60"/>
        <v>0.65310800000000002</v>
      </c>
      <c r="N159" s="2">
        <f t="shared" si="60"/>
        <v>0</v>
      </c>
      <c r="O159" s="2">
        <f t="shared" si="60"/>
        <v>0</v>
      </c>
      <c r="P159" s="2">
        <f t="shared" si="60"/>
        <v>0</v>
      </c>
      <c r="Q159" s="2">
        <f t="shared" si="60"/>
        <v>1.306216</v>
      </c>
      <c r="R159" s="2">
        <f t="shared" si="60"/>
        <v>1.306216</v>
      </c>
      <c r="S159" s="2">
        <f t="shared" si="60"/>
        <v>0.65310800000000002</v>
      </c>
      <c r="T159" s="2">
        <f t="shared" si="60"/>
        <v>0.97966199999999992</v>
      </c>
      <c r="U159" s="2">
        <f t="shared" si="60"/>
        <v>0</v>
      </c>
      <c r="V159" s="2">
        <f t="shared" si="60"/>
        <v>0</v>
      </c>
      <c r="W159" s="2">
        <f t="shared" si="60"/>
        <v>0.65310800000000002</v>
      </c>
      <c r="X159" s="2">
        <f t="shared" si="60"/>
        <v>0.65310800000000002</v>
      </c>
      <c r="Y159" s="2">
        <f t="shared" si="60"/>
        <v>1.9593239999999998</v>
      </c>
      <c r="Z159" s="2">
        <f t="shared" si="60"/>
        <v>0.65310800000000002</v>
      </c>
      <c r="AA159" s="2">
        <f t="shared" si="60"/>
        <v>0.65310800000000002</v>
      </c>
      <c r="AB159" s="2">
        <f t="shared" si="60"/>
        <v>0</v>
      </c>
      <c r="AC159" s="2">
        <f t="shared" si="60"/>
        <v>0.65310800000000002</v>
      </c>
      <c r="AD159" s="2">
        <f t="shared" si="60"/>
        <v>0.65310800000000002</v>
      </c>
      <c r="AE159" s="2">
        <f t="shared" si="60"/>
        <v>1.9593239999999998</v>
      </c>
      <c r="AF159" s="2">
        <f t="shared" si="60"/>
        <v>0</v>
      </c>
      <c r="AG159" s="2">
        <f t="shared" si="60"/>
        <v>0</v>
      </c>
      <c r="AH159" s="2">
        <f t="shared" si="60"/>
        <v>0</v>
      </c>
      <c r="AI159" s="2">
        <f t="shared" si="60"/>
        <v>0.65310800000000002</v>
      </c>
      <c r="AJ159" s="2">
        <f t="shared" si="60"/>
        <v>0</v>
      </c>
      <c r="AK159" s="2">
        <f t="shared" si="60"/>
        <v>0</v>
      </c>
      <c r="AL159" s="2">
        <f t="shared" si="60"/>
        <v>0</v>
      </c>
      <c r="AM159" s="2">
        <f t="shared" si="60"/>
        <v>0</v>
      </c>
      <c r="AN159" s="2">
        <f t="shared" si="60"/>
        <v>0</v>
      </c>
      <c r="AO159" s="2">
        <f t="shared" si="60"/>
        <v>0</v>
      </c>
      <c r="AP159" s="2">
        <f t="shared" si="60"/>
        <v>0</v>
      </c>
      <c r="AQ159" s="2">
        <f t="shared" ref="AQ159:AS159" si="61">AQ10/100*$B159</f>
        <v>0</v>
      </c>
      <c r="AR159" s="2">
        <f t="shared" si="61"/>
        <v>0.32655400000000001</v>
      </c>
      <c r="AS159" s="2">
        <f t="shared" si="61"/>
        <v>0</v>
      </c>
    </row>
    <row r="160" spans="1:45" hidden="1" x14ac:dyDescent="0.25">
      <c r="A160" s="2" t="s">
        <v>73</v>
      </c>
      <c r="B160" s="2">
        <v>3272.45</v>
      </c>
      <c r="C160" s="2">
        <f t="shared" ref="C160:AS164" si="62">C11/100*$B160</f>
        <v>0.98173499999999991</v>
      </c>
      <c r="D160" s="2">
        <f t="shared" si="62"/>
        <v>0</v>
      </c>
      <c r="E160" s="2">
        <f t="shared" si="62"/>
        <v>0</v>
      </c>
      <c r="F160" s="2">
        <f t="shared" si="62"/>
        <v>0</v>
      </c>
      <c r="G160" s="2">
        <f t="shared" si="62"/>
        <v>0</v>
      </c>
      <c r="H160" s="2">
        <f t="shared" si="62"/>
        <v>0</v>
      </c>
      <c r="I160" s="2">
        <f t="shared" si="62"/>
        <v>0.32724500000000001</v>
      </c>
      <c r="J160" s="2">
        <f t="shared" si="62"/>
        <v>0.32724500000000001</v>
      </c>
      <c r="K160" s="2">
        <f t="shared" si="62"/>
        <v>0.65449000000000002</v>
      </c>
      <c r="L160" s="2">
        <f t="shared" si="62"/>
        <v>0</v>
      </c>
      <c r="M160" s="2">
        <f t="shared" si="62"/>
        <v>0.32724500000000001</v>
      </c>
      <c r="N160" s="2">
        <f t="shared" si="62"/>
        <v>0</v>
      </c>
      <c r="O160" s="2">
        <f t="shared" si="62"/>
        <v>0</v>
      </c>
      <c r="P160" s="2">
        <f t="shared" si="62"/>
        <v>0</v>
      </c>
      <c r="Q160" s="2">
        <f t="shared" si="62"/>
        <v>0.65449000000000002</v>
      </c>
      <c r="R160" s="2">
        <f t="shared" si="62"/>
        <v>0.65449000000000002</v>
      </c>
      <c r="S160" s="2">
        <f t="shared" si="62"/>
        <v>0</v>
      </c>
      <c r="T160" s="2">
        <f t="shared" si="62"/>
        <v>0</v>
      </c>
      <c r="U160" s="2">
        <f t="shared" si="62"/>
        <v>0</v>
      </c>
      <c r="V160" s="2">
        <f t="shared" si="62"/>
        <v>0</v>
      </c>
      <c r="W160" s="2">
        <f t="shared" si="62"/>
        <v>0</v>
      </c>
      <c r="X160" s="2">
        <f t="shared" si="62"/>
        <v>0</v>
      </c>
      <c r="Y160" s="2">
        <f t="shared" si="62"/>
        <v>0.32724500000000001</v>
      </c>
      <c r="Z160" s="2">
        <f t="shared" si="62"/>
        <v>0</v>
      </c>
      <c r="AA160" s="2">
        <f t="shared" si="62"/>
        <v>0.32724500000000001</v>
      </c>
      <c r="AB160" s="2">
        <f t="shared" si="62"/>
        <v>0.32724500000000001</v>
      </c>
      <c r="AC160" s="2">
        <f t="shared" si="62"/>
        <v>0</v>
      </c>
      <c r="AD160" s="2">
        <f t="shared" si="62"/>
        <v>0</v>
      </c>
      <c r="AE160" s="2">
        <f t="shared" si="62"/>
        <v>0.65449000000000002</v>
      </c>
      <c r="AF160" s="2">
        <f t="shared" si="62"/>
        <v>0</v>
      </c>
      <c r="AG160" s="2">
        <f t="shared" si="62"/>
        <v>0</v>
      </c>
      <c r="AH160" s="2">
        <f t="shared" si="62"/>
        <v>0</v>
      </c>
      <c r="AI160" s="2">
        <f t="shared" si="62"/>
        <v>0</v>
      </c>
      <c r="AJ160" s="2">
        <f t="shared" si="62"/>
        <v>0</v>
      </c>
      <c r="AK160" s="2">
        <f t="shared" si="62"/>
        <v>0</v>
      </c>
      <c r="AL160" s="2">
        <f t="shared" si="62"/>
        <v>0</v>
      </c>
      <c r="AM160" s="2">
        <f t="shared" si="62"/>
        <v>0</v>
      </c>
      <c r="AN160" s="2">
        <f t="shared" si="62"/>
        <v>0</v>
      </c>
      <c r="AO160" s="2">
        <f t="shared" si="62"/>
        <v>0</v>
      </c>
      <c r="AP160" s="2">
        <f t="shared" si="62"/>
        <v>0</v>
      </c>
      <c r="AQ160" s="2">
        <f t="shared" si="62"/>
        <v>0</v>
      </c>
      <c r="AR160" s="2">
        <f t="shared" si="62"/>
        <v>0</v>
      </c>
      <c r="AS160" s="2">
        <f t="shared" si="62"/>
        <v>0</v>
      </c>
    </row>
    <row r="161" spans="1:45" hidden="1" x14ac:dyDescent="0.25">
      <c r="A161" s="2" t="s">
        <v>74</v>
      </c>
      <c r="B161" s="2">
        <v>3887.71</v>
      </c>
      <c r="C161" s="2">
        <f t="shared" si="62"/>
        <v>0</v>
      </c>
      <c r="D161" s="2">
        <f t="shared" si="62"/>
        <v>0</v>
      </c>
      <c r="E161" s="2">
        <f t="shared" si="62"/>
        <v>0</v>
      </c>
      <c r="F161" s="2">
        <f t="shared" si="62"/>
        <v>0</v>
      </c>
      <c r="G161" s="2">
        <f t="shared" si="62"/>
        <v>0</v>
      </c>
      <c r="H161" s="2">
        <f t="shared" si="62"/>
        <v>0</v>
      </c>
      <c r="I161" s="2">
        <f t="shared" si="62"/>
        <v>0</v>
      </c>
      <c r="J161" s="2">
        <f t="shared" si="62"/>
        <v>0</v>
      </c>
      <c r="K161" s="2">
        <f t="shared" si="62"/>
        <v>0</v>
      </c>
      <c r="L161" s="2">
        <f t="shared" si="62"/>
        <v>0</v>
      </c>
      <c r="M161" s="2">
        <f t="shared" si="62"/>
        <v>0</v>
      </c>
      <c r="N161" s="2">
        <f t="shared" si="62"/>
        <v>0</v>
      </c>
      <c r="O161" s="2">
        <f t="shared" si="62"/>
        <v>0</v>
      </c>
      <c r="P161" s="2">
        <f t="shared" si="62"/>
        <v>0</v>
      </c>
      <c r="Q161" s="2">
        <f t="shared" si="62"/>
        <v>0</v>
      </c>
      <c r="R161" s="2">
        <f t="shared" si="62"/>
        <v>0.38877100000000003</v>
      </c>
      <c r="S161" s="2">
        <f t="shared" si="62"/>
        <v>0</v>
      </c>
      <c r="T161" s="2">
        <f t="shared" si="62"/>
        <v>0</v>
      </c>
      <c r="U161" s="2">
        <f t="shared" si="62"/>
        <v>0</v>
      </c>
      <c r="V161" s="2">
        <f t="shared" si="62"/>
        <v>0</v>
      </c>
      <c r="W161" s="2">
        <f t="shared" si="62"/>
        <v>0</v>
      </c>
      <c r="X161" s="2">
        <f t="shared" si="62"/>
        <v>0</v>
      </c>
      <c r="Y161" s="2">
        <f t="shared" si="62"/>
        <v>0</v>
      </c>
      <c r="Z161" s="2">
        <f t="shared" si="62"/>
        <v>0</v>
      </c>
      <c r="AA161" s="2">
        <f t="shared" si="62"/>
        <v>0</v>
      </c>
      <c r="AB161" s="2">
        <f t="shared" si="62"/>
        <v>0</v>
      </c>
      <c r="AC161" s="2">
        <f t="shared" si="62"/>
        <v>0</v>
      </c>
      <c r="AD161" s="2">
        <f t="shared" si="62"/>
        <v>0</v>
      </c>
      <c r="AE161" s="2">
        <f t="shared" si="62"/>
        <v>0</v>
      </c>
      <c r="AF161" s="2">
        <f t="shared" si="62"/>
        <v>0</v>
      </c>
      <c r="AG161" s="2">
        <f t="shared" si="62"/>
        <v>0</v>
      </c>
      <c r="AH161" s="2">
        <f t="shared" si="62"/>
        <v>0</v>
      </c>
      <c r="AI161" s="2">
        <f t="shared" si="62"/>
        <v>0</v>
      </c>
      <c r="AJ161" s="2">
        <f t="shared" si="62"/>
        <v>0</v>
      </c>
      <c r="AK161" s="2">
        <f t="shared" si="62"/>
        <v>0</v>
      </c>
      <c r="AL161" s="2">
        <f t="shared" si="62"/>
        <v>0</v>
      </c>
      <c r="AM161" s="2">
        <f t="shared" si="62"/>
        <v>0</v>
      </c>
      <c r="AN161" s="2">
        <f t="shared" si="62"/>
        <v>0</v>
      </c>
      <c r="AO161" s="2">
        <f t="shared" si="62"/>
        <v>0</v>
      </c>
      <c r="AP161" s="2">
        <f t="shared" si="62"/>
        <v>0</v>
      </c>
      <c r="AQ161" s="2">
        <f t="shared" si="62"/>
        <v>0</v>
      </c>
      <c r="AR161" s="2">
        <f t="shared" si="62"/>
        <v>0</v>
      </c>
      <c r="AS161" s="2">
        <f t="shared" si="62"/>
        <v>0</v>
      </c>
    </row>
    <row r="162" spans="1:45" hidden="1" x14ac:dyDescent="0.25">
      <c r="A162" s="2" t="s">
        <v>75</v>
      </c>
      <c r="B162" s="2">
        <v>0</v>
      </c>
      <c r="C162" s="2">
        <f t="shared" si="62"/>
        <v>0</v>
      </c>
      <c r="D162" s="2">
        <f t="shared" si="62"/>
        <v>0</v>
      </c>
      <c r="E162" s="2">
        <f t="shared" si="62"/>
        <v>0</v>
      </c>
      <c r="F162" s="2">
        <f t="shared" si="62"/>
        <v>0</v>
      </c>
      <c r="G162" s="2">
        <f t="shared" si="62"/>
        <v>0</v>
      </c>
      <c r="H162" s="2">
        <f t="shared" si="62"/>
        <v>0</v>
      </c>
      <c r="I162" s="2">
        <f t="shared" si="62"/>
        <v>0</v>
      </c>
      <c r="J162" s="2">
        <f t="shared" si="62"/>
        <v>0</v>
      </c>
      <c r="K162" s="2">
        <f t="shared" si="62"/>
        <v>0</v>
      </c>
      <c r="L162" s="2">
        <f t="shared" si="62"/>
        <v>0</v>
      </c>
      <c r="M162" s="2">
        <f t="shared" si="62"/>
        <v>0</v>
      </c>
      <c r="N162" s="2">
        <f t="shared" si="62"/>
        <v>0</v>
      </c>
      <c r="O162" s="2">
        <f t="shared" si="62"/>
        <v>0</v>
      </c>
      <c r="P162" s="2">
        <f t="shared" si="62"/>
        <v>0</v>
      </c>
      <c r="Q162" s="2">
        <f t="shared" si="62"/>
        <v>0</v>
      </c>
      <c r="R162" s="2">
        <f t="shared" si="62"/>
        <v>0</v>
      </c>
      <c r="S162" s="2">
        <f t="shared" si="62"/>
        <v>0</v>
      </c>
      <c r="T162" s="2">
        <f t="shared" si="62"/>
        <v>0</v>
      </c>
      <c r="U162" s="2">
        <f t="shared" si="62"/>
        <v>0</v>
      </c>
      <c r="V162" s="2">
        <f t="shared" si="62"/>
        <v>0</v>
      </c>
      <c r="W162" s="2">
        <f t="shared" si="62"/>
        <v>0</v>
      </c>
      <c r="X162" s="2">
        <f t="shared" si="62"/>
        <v>0</v>
      </c>
      <c r="Y162" s="2">
        <f t="shared" si="62"/>
        <v>0</v>
      </c>
      <c r="Z162" s="2">
        <f t="shared" si="62"/>
        <v>0</v>
      </c>
      <c r="AA162" s="2">
        <f t="shared" si="62"/>
        <v>0</v>
      </c>
      <c r="AB162" s="2">
        <f t="shared" si="62"/>
        <v>0</v>
      </c>
      <c r="AC162" s="2">
        <f t="shared" si="62"/>
        <v>0</v>
      </c>
      <c r="AD162" s="2">
        <f t="shared" si="62"/>
        <v>0</v>
      </c>
      <c r="AE162" s="2">
        <f t="shared" si="62"/>
        <v>0</v>
      </c>
      <c r="AF162" s="2">
        <f t="shared" si="62"/>
        <v>0</v>
      </c>
      <c r="AG162" s="2">
        <f t="shared" si="62"/>
        <v>0</v>
      </c>
      <c r="AH162" s="2">
        <f t="shared" si="62"/>
        <v>0</v>
      </c>
      <c r="AI162" s="2">
        <f t="shared" si="62"/>
        <v>0</v>
      </c>
      <c r="AJ162" s="2">
        <f t="shared" si="62"/>
        <v>0</v>
      </c>
      <c r="AK162" s="2">
        <f t="shared" si="62"/>
        <v>0</v>
      </c>
      <c r="AL162" s="2">
        <f t="shared" si="62"/>
        <v>0</v>
      </c>
      <c r="AM162" s="2">
        <f t="shared" si="62"/>
        <v>0</v>
      </c>
      <c r="AN162" s="2">
        <f t="shared" si="62"/>
        <v>0</v>
      </c>
      <c r="AO162" s="2">
        <f t="shared" si="62"/>
        <v>0</v>
      </c>
      <c r="AP162" s="2">
        <f t="shared" si="62"/>
        <v>0</v>
      </c>
      <c r="AQ162" s="2">
        <f t="shared" si="62"/>
        <v>0</v>
      </c>
      <c r="AR162" s="2">
        <f t="shared" si="62"/>
        <v>0</v>
      </c>
      <c r="AS162" s="2">
        <f t="shared" si="62"/>
        <v>0</v>
      </c>
    </row>
    <row r="163" spans="1:45" hidden="1" x14ac:dyDescent="0.25">
      <c r="A163" s="2" t="s">
        <v>76</v>
      </c>
      <c r="B163" s="2">
        <v>0</v>
      </c>
      <c r="C163" s="2">
        <f t="shared" si="62"/>
        <v>0</v>
      </c>
      <c r="D163" s="2">
        <f t="shared" si="62"/>
        <v>0</v>
      </c>
      <c r="E163" s="2">
        <f t="shared" si="62"/>
        <v>0</v>
      </c>
      <c r="F163" s="2">
        <f t="shared" si="62"/>
        <v>0</v>
      </c>
      <c r="G163" s="2">
        <f t="shared" si="62"/>
        <v>0</v>
      </c>
      <c r="H163" s="2">
        <f t="shared" si="62"/>
        <v>0</v>
      </c>
      <c r="I163" s="2">
        <f t="shared" si="62"/>
        <v>0</v>
      </c>
      <c r="J163" s="2">
        <f t="shared" si="62"/>
        <v>0</v>
      </c>
      <c r="K163" s="2">
        <f t="shared" si="62"/>
        <v>0</v>
      </c>
      <c r="L163" s="2">
        <f t="shared" si="62"/>
        <v>0</v>
      </c>
      <c r="M163" s="2">
        <f t="shared" si="62"/>
        <v>0</v>
      </c>
      <c r="N163" s="2">
        <f t="shared" si="62"/>
        <v>0</v>
      </c>
      <c r="O163" s="2">
        <f t="shared" si="62"/>
        <v>0</v>
      </c>
      <c r="P163" s="2">
        <f t="shared" si="62"/>
        <v>0</v>
      </c>
      <c r="Q163" s="2">
        <f t="shared" si="62"/>
        <v>0</v>
      </c>
      <c r="R163" s="2">
        <f t="shared" si="62"/>
        <v>0</v>
      </c>
      <c r="S163" s="2">
        <f t="shared" si="62"/>
        <v>0</v>
      </c>
      <c r="T163" s="2">
        <f t="shared" si="62"/>
        <v>0</v>
      </c>
      <c r="U163" s="2">
        <f t="shared" si="62"/>
        <v>0</v>
      </c>
      <c r="V163" s="2">
        <f t="shared" si="62"/>
        <v>0</v>
      </c>
      <c r="W163" s="2">
        <f t="shared" si="62"/>
        <v>0</v>
      </c>
      <c r="X163" s="2">
        <f t="shared" si="62"/>
        <v>0</v>
      </c>
      <c r="Y163" s="2">
        <f t="shared" si="62"/>
        <v>0</v>
      </c>
      <c r="Z163" s="2">
        <f t="shared" si="62"/>
        <v>0</v>
      </c>
      <c r="AA163" s="2">
        <f t="shared" si="62"/>
        <v>0</v>
      </c>
      <c r="AB163" s="2">
        <f t="shared" si="62"/>
        <v>0</v>
      </c>
      <c r="AC163" s="2">
        <f t="shared" si="62"/>
        <v>0</v>
      </c>
      <c r="AD163" s="2">
        <f t="shared" si="62"/>
        <v>0</v>
      </c>
      <c r="AE163" s="2">
        <f t="shared" si="62"/>
        <v>0</v>
      </c>
      <c r="AF163" s="2">
        <f t="shared" si="62"/>
        <v>0</v>
      </c>
      <c r="AG163" s="2">
        <f t="shared" si="62"/>
        <v>0</v>
      </c>
      <c r="AH163" s="2">
        <f t="shared" si="62"/>
        <v>0</v>
      </c>
      <c r="AI163" s="2">
        <f t="shared" si="62"/>
        <v>0</v>
      </c>
      <c r="AJ163" s="2">
        <f t="shared" si="62"/>
        <v>0</v>
      </c>
      <c r="AK163" s="2">
        <f t="shared" si="62"/>
        <v>0</v>
      </c>
      <c r="AL163" s="2">
        <f t="shared" si="62"/>
        <v>0</v>
      </c>
      <c r="AM163" s="2">
        <f t="shared" si="62"/>
        <v>0</v>
      </c>
      <c r="AN163" s="2">
        <f t="shared" si="62"/>
        <v>0</v>
      </c>
      <c r="AO163" s="2">
        <f t="shared" si="62"/>
        <v>0</v>
      </c>
      <c r="AP163" s="2">
        <f t="shared" si="62"/>
        <v>0</v>
      </c>
      <c r="AQ163" s="2">
        <f t="shared" si="62"/>
        <v>0</v>
      </c>
      <c r="AR163" s="2">
        <f t="shared" si="62"/>
        <v>0</v>
      </c>
      <c r="AS163" s="2">
        <f t="shared" si="62"/>
        <v>0</v>
      </c>
    </row>
    <row r="164" spans="1:45" hidden="1" x14ac:dyDescent="0.25">
      <c r="A164" s="2" t="s">
        <v>77</v>
      </c>
      <c r="B164" s="2">
        <v>0</v>
      </c>
      <c r="C164" s="2">
        <f t="shared" si="62"/>
        <v>0</v>
      </c>
      <c r="D164" s="2">
        <f t="shared" si="62"/>
        <v>0</v>
      </c>
      <c r="E164" s="2">
        <f t="shared" si="62"/>
        <v>0</v>
      </c>
      <c r="F164" s="2">
        <f t="shared" si="62"/>
        <v>0</v>
      </c>
      <c r="G164" s="2">
        <f t="shared" si="62"/>
        <v>0</v>
      </c>
      <c r="H164" s="2">
        <f t="shared" si="62"/>
        <v>0</v>
      </c>
      <c r="I164" s="2">
        <f t="shared" si="62"/>
        <v>0</v>
      </c>
      <c r="J164" s="2">
        <f t="shared" si="62"/>
        <v>0</v>
      </c>
      <c r="K164" s="2">
        <f t="shared" si="62"/>
        <v>0</v>
      </c>
      <c r="L164" s="2">
        <f t="shared" si="62"/>
        <v>0</v>
      </c>
      <c r="M164" s="2">
        <f t="shared" si="62"/>
        <v>0</v>
      </c>
      <c r="N164" s="2">
        <f t="shared" si="62"/>
        <v>0</v>
      </c>
      <c r="O164" s="2">
        <f t="shared" si="62"/>
        <v>0</v>
      </c>
      <c r="P164" s="2">
        <f t="shared" si="62"/>
        <v>0</v>
      </c>
      <c r="Q164" s="2">
        <f t="shared" si="62"/>
        <v>0</v>
      </c>
      <c r="R164" s="2">
        <f t="shared" si="62"/>
        <v>0</v>
      </c>
      <c r="S164" s="2">
        <f t="shared" si="62"/>
        <v>0</v>
      </c>
      <c r="T164" s="2">
        <f t="shared" si="62"/>
        <v>0</v>
      </c>
      <c r="U164" s="2">
        <f t="shared" si="62"/>
        <v>0</v>
      </c>
      <c r="V164" s="2">
        <f t="shared" si="62"/>
        <v>0</v>
      </c>
      <c r="W164" s="2">
        <f t="shared" si="62"/>
        <v>0</v>
      </c>
      <c r="X164" s="2">
        <f t="shared" si="62"/>
        <v>0</v>
      </c>
      <c r="Y164" s="2">
        <f t="shared" si="62"/>
        <v>0</v>
      </c>
      <c r="Z164" s="2">
        <f t="shared" si="62"/>
        <v>0</v>
      </c>
      <c r="AA164" s="2">
        <f t="shared" si="62"/>
        <v>0</v>
      </c>
      <c r="AB164" s="2">
        <f t="shared" si="62"/>
        <v>0</v>
      </c>
      <c r="AC164" s="2">
        <f t="shared" si="62"/>
        <v>0</v>
      </c>
      <c r="AD164" s="2">
        <f t="shared" si="62"/>
        <v>0</v>
      </c>
      <c r="AE164" s="2">
        <f t="shared" si="62"/>
        <v>0</v>
      </c>
      <c r="AF164" s="2">
        <f t="shared" si="62"/>
        <v>0</v>
      </c>
      <c r="AG164" s="2">
        <f t="shared" si="62"/>
        <v>0</v>
      </c>
      <c r="AH164" s="2">
        <f t="shared" si="62"/>
        <v>0</v>
      </c>
      <c r="AI164" s="2">
        <f t="shared" si="62"/>
        <v>0</v>
      </c>
      <c r="AJ164" s="2">
        <f t="shared" si="62"/>
        <v>0</v>
      </c>
      <c r="AK164" s="2">
        <f t="shared" si="62"/>
        <v>0</v>
      </c>
      <c r="AL164" s="2">
        <f t="shared" si="62"/>
        <v>0</v>
      </c>
      <c r="AM164" s="2">
        <f t="shared" si="62"/>
        <v>0</v>
      </c>
      <c r="AN164" s="2">
        <f t="shared" si="62"/>
        <v>0</v>
      </c>
      <c r="AO164" s="2">
        <f t="shared" si="62"/>
        <v>0</v>
      </c>
      <c r="AP164" s="2">
        <f t="shared" si="62"/>
        <v>0</v>
      </c>
      <c r="AQ164" s="2">
        <f t="shared" si="62"/>
        <v>0</v>
      </c>
      <c r="AR164" s="2">
        <f t="shared" si="62"/>
        <v>0</v>
      </c>
      <c r="AS164" s="2">
        <f t="shared" si="62"/>
        <v>0</v>
      </c>
    </row>
    <row r="165" spans="1:45" hidden="1" x14ac:dyDescent="0.25">
      <c r="A165" s="2" t="s">
        <v>78</v>
      </c>
      <c r="C165" s="2">
        <f>SUM(C154:C164)</f>
        <v>872.93486700000005</v>
      </c>
      <c r="D165" s="2">
        <f t="shared" ref="D165:AS165" si="63">SUM(D154:D164)</f>
        <v>878.83581200000003</v>
      </c>
      <c r="E165" s="2">
        <f>SUM(E154:E164)</f>
        <v>853.15950299999997</v>
      </c>
      <c r="F165" s="2">
        <f>SUM(F154:F164)</f>
        <v>850.13061100000004</v>
      </c>
      <c r="G165" s="2">
        <f t="shared" si="63"/>
        <v>854.86848399999985</v>
      </c>
      <c r="H165" s="2">
        <f>SUM(H154:H164)</f>
        <v>869.85846900000001</v>
      </c>
      <c r="I165" s="2">
        <f>SUM(I154:I164)</f>
        <v>845.35941199999991</v>
      </c>
      <c r="J165" s="2">
        <f>SUM(J154:J164)</f>
        <v>902.41453299999989</v>
      </c>
      <c r="K165" s="2">
        <f t="shared" si="63"/>
        <v>866.97090300000002</v>
      </c>
      <c r="L165" s="2">
        <f>SUM(L154:L164)</f>
        <v>901.56036300000005</v>
      </c>
      <c r="M165" s="2">
        <f>SUM(M154:M164)</f>
        <v>891.77499099999977</v>
      </c>
      <c r="N165" s="2">
        <f t="shared" si="63"/>
        <v>802.27620300000012</v>
      </c>
      <c r="O165" s="2">
        <f t="shared" si="63"/>
        <v>801.64309600000001</v>
      </c>
      <c r="P165" s="2">
        <f t="shared" si="63"/>
        <v>802.16976599999998</v>
      </c>
      <c r="Q165" s="2">
        <f t="shared" si="63"/>
        <v>883.39997499999993</v>
      </c>
      <c r="R165" s="2">
        <f>SUM(R154:R164)</f>
        <v>866.18633700000009</v>
      </c>
      <c r="S165" s="2">
        <f>SUM(S154:S164)</f>
        <v>822.12839699999995</v>
      </c>
      <c r="T165" s="2">
        <f t="shared" si="63"/>
        <v>827.01888700000006</v>
      </c>
      <c r="U165" s="2">
        <f t="shared" si="63"/>
        <v>844.56718999999998</v>
      </c>
      <c r="V165" s="2">
        <f>SUM(V154:V164)</f>
        <v>872.28520000000003</v>
      </c>
      <c r="W165" s="2">
        <f t="shared" si="63"/>
        <v>867.19204200000001</v>
      </c>
      <c r="X165" s="2">
        <f t="shared" si="63"/>
        <v>824.82494600000018</v>
      </c>
      <c r="Y165" s="2">
        <f t="shared" si="63"/>
        <v>873.50238400000001</v>
      </c>
      <c r="Z165" s="2">
        <f t="shared" si="63"/>
        <v>875.48460799999998</v>
      </c>
      <c r="AA165" s="2">
        <f>SUM(AA154:AA164)</f>
        <v>894.33000299999981</v>
      </c>
      <c r="AB165" s="2">
        <f t="shared" si="63"/>
        <v>870.24891600000001</v>
      </c>
      <c r="AC165" s="2">
        <f t="shared" si="63"/>
        <v>855.06193000000007</v>
      </c>
      <c r="AD165" s="2">
        <f t="shared" si="63"/>
        <v>885.86182900000006</v>
      </c>
      <c r="AE165" s="2">
        <f t="shared" si="63"/>
        <v>907.70008600000028</v>
      </c>
      <c r="AF165" s="2">
        <f t="shared" si="63"/>
        <v>855.81023000000016</v>
      </c>
      <c r="AG165" s="2">
        <f t="shared" si="63"/>
        <v>882.57940199999985</v>
      </c>
      <c r="AH165" s="2">
        <f t="shared" si="63"/>
        <v>839.37291499999992</v>
      </c>
      <c r="AI165" s="2">
        <f t="shared" si="63"/>
        <v>873.33684099999994</v>
      </c>
      <c r="AJ165" s="2">
        <f>SUM(AJ154:AJ164)</f>
        <v>843.36674900000003</v>
      </c>
      <c r="AK165" s="2">
        <f t="shared" si="63"/>
        <v>816.78415900000027</v>
      </c>
      <c r="AL165" s="2">
        <f t="shared" si="63"/>
        <v>894.16563499999995</v>
      </c>
      <c r="AM165" s="2">
        <f t="shared" si="63"/>
        <v>802.08033499999999</v>
      </c>
      <c r="AN165" s="2">
        <f t="shared" si="63"/>
        <v>0</v>
      </c>
      <c r="AO165" s="2">
        <f t="shared" si="63"/>
        <v>819.33634800000016</v>
      </c>
      <c r="AP165" s="2">
        <f t="shared" si="63"/>
        <v>840.03422200000011</v>
      </c>
      <c r="AQ165" s="2">
        <f t="shared" si="63"/>
        <v>0</v>
      </c>
      <c r="AR165" s="2">
        <f t="shared" si="63"/>
        <v>830.72781199999997</v>
      </c>
      <c r="AS165" s="2">
        <f t="shared" si="63"/>
        <v>851.25624000000016</v>
      </c>
    </row>
    <row r="166" spans="1:45" hidden="1" x14ac:dyDescent="0.25"/>
    <row r="167" spans="1:45" hidden="1" x14ac:dyDescent="0.25">
      <c r="A167" s="51" t="s">
        <v>106</v>
      </c>
    </row>
    <row r="168" spans="1:45" hidden="1" x14ac:dyDescent="0.25">
      <c r="A168" s="2" t="s">
        <v>67</v>
      </c>
      <c r="B168" s="2">
        <v>891.56</v>
      </c>
      <c r="C168" s="2">
        <f t="shared" ref="C168:AS173" si="64">C5/100*$B168</f>
        <v>799.37269599999991</v>
      </c>
      <c r="D168" s="2">
        <f t="shared" si="64"/>
        <v>790.81371999999999</v>
      </c>
      <c r="E168" s="2">
        <f t="shared" si="64"/>
        <v>813.99427999999989</v>
      </c>
      <c r="F168" s="2">
        <f t="shared" si="64"/>
        <v>817.38220799999999</v>
      </c>
      <c r="G168" s="2">
        <f t="shared" si="64"/>
        <v>817.47136399999988</v>
      </c>
      <c r="H168" s="2">
        <f t="shared" si="64"/>
        <v>823.44481599999995</v>
      </c>
      <c r="I168" s="2">
        <f t="shared" si="64"/>
        <v>843.23744799999997</v>
      </c>
      <c r="J168" s="2">
        <f t="shared" si="64"/>
        <v>789.92215999999985</v>
      </c>
      <c r="K168" s="2">
        <f t="shared" si="64"/>
        <v>825.22793599999989</v>
      </c>
      <c r="L168" s="2">
        <f t="shared" si="64"/>
        <v>762.55126800000005</v>
      </c>
      <c r="M168" s="2">
        <f t="shared" si="64"/>
        <v>785.99929599999984</v>
      </c>
      <c r="N168" s="2">
        <f t="shared" si="64"/>
        <v>889.77687999999989</v>
      </c>
      <c r="O168" s="2">
        <f t="shared" si="64"/>
        <v>889.77687999999989</v>
      </c>
      <c r="P168" s="2">
        <f t="shared" si="64"/>
        <v>890.0443479999999</v>
      </c>
      <c r="Q168" s="2">
        <f t="shared" si="64"/>
        <v>818.80870399999992</v>
      </c>
      <c r="R168" s="2">
        <f t="shared" si="64"/>
        <v>827.99177199999997</v>
      </c>
      <c r="S168" s="2">
        <f t="shared" si="64"/>
        <v>866.95294399999989</v>
      </c>
      <c r="T168" s="2">
        <f t="shared" si="64"/>
        <v>866.32885199999998</v>
      </c>
      <c r="U168" s="2">
        <f t="shared" si="64"/>
        <v>832.62788399999988</v>
      </c>
      <c r="V168" s="2">
        <f t="shared" si="64"/>
        <v>818.98701599999993</v>
      </c>
      <c r="W168" s="2">
        <f t="shared" si="64"/>
        <v>836.28327999999988</v>
      </c>
      <c r="X168" s="2">
        <f t="shared" si="64"/>
        <v>862.13851999999997</v>
      </c>
      <c r="Y168" s="2">
        <f t="shared" si="64"/>
        <v>824.33637599999997</v>
      </c>
      <c r="Z168" s="2">
        <f t="shared" si="64"/>
        <v>822.99903599999993</v>
      </c>
      <c r="AA168" s="2">
        <f t="shared" si="64"/>
        <v>805.16783599999997</v>
      </c>
      <c r="AB168" s="2">
        <f t="shared" si="64"/>
        <v>823.17734799999994</v>
      </c>
      <c r="AC168" s="2">
        <f t="shared" si="64"/>
        <v>820.05688799999996</v>
      </c>
      <c r="AD168" s="2">
        <f t="shared" si="64"/>
        <v>809.00154399999997</v>
      </c>
      <c r="AE168" s="2">
        <f t="shared" si="64"/>
        <v>781.98727600000007</v>
      </c>
      <c r="AF168" s="2">
        <f t="shared" si="64"/>
        <v>802.76062400000001</v>
      </c>
      <c r="AG168" s="2">
        <f t="shared" si="64"/>
        <v>803.0280919999999</v>
      </c>
      <c r="AH168" s="2">
        <f t="shared" si="64"/>
        <v>831.82547999999986</v>
      </c>
      <c r="AI168" s="2">
        <f t="shared" si="64"/>
        <v>824.42553199999998</v>
      </c>
      <c r="AJ168" s="2">
        <f t="shared" si="64"/>
        <v>845.02056799999991</v>
      </c>
      <c r="AK168" s="2">
        <f t="shared" si="64"/>
        <v>874.79867200000001</v>
      </c>
      <c r="AL168" s="2">
        <f t="shared" si="64"/>
        <v>773.78492399999982</v>
      </c>
      <c r="AM168" s="2">
        <f t="shared" si="64"/>
        <v>889.24194399999988</v>
      </c>
      <c r="AN168" s="2">
        <f t="shared" si="64"/>
        <v>0</v>
      </c>
      <c r="AO168" s="2">
        <f t="shared" si="64"/>
        <v>868.02281599999992</v>
      </c>
      <c r="AP168" s="2">
        <f t="shared" si="64"/>
        <v>838.06639999999993</v>
      </c>
      <c r="AQ168" s="2">
        <f t="shared" si="64"/>
        <v>0</v>
      </c>
      <c r="AR168" s="2">
        <f t="shared" si="64"/>
        <v>853.66869999999994</v>
      </c>
      <c r="AS168" s="2">
        <f t="shared" si="64"/>
        <v>830.13151600000003</v>
      </c>
    </row>
    <row r="169" spans="1:45" hidden="1" x14ac:dyDescent="0.25">
      <c r="A169" s="2" t="s">
        <v>68</v>
      </c>
      <c r="B169" s="2">
        <v>1562.14</v>
      </c>
      <c r="C169" s="2">
        <f t="shared" si="64"/>
        <v>132.469472</v>
      </c>
      <c r="D169" s="2">
        <f t="shared" si="64"/>
        <v>130.282476</v>
      </c>
      <c r="E169" s="2">
        <f t="shared" si="64"/>
        <v>112.63029400000001</v>
      </c>
      <c r="F169" s="2">
        <f t="shared" si="64"/>
        <v>124.50255799999999</v>
      </c>
      <c r="G169" s="2">
        <f t="shared" si="64"/>
        <v>126.689554</v>
      </c>
      <c r="H169" s="2">
        <f t="shared" si="64"/>
        <v>76.232432000000003</v>
      </c>
      <c r="I169" s="2">
        <f t="shared" si="64"/>
        <v>59.829962000000002</v>
      </c>
      <c r="J169" s="2">
        <f t="shared" si="64"/>
        <v>119.03506800000001</v>
      </c>
      <c r="K169" s="2">
        <f t="shared" si="64"/>
        <v>73.420580000000001</v>
      </c>
      <c r="L169" s="2">
        <f t="shared" si="64"/>
        <v>200.26634800000002</v>
      </c>
      <c r="M169" s="2">
        <f t="shared" si="64"/>
        <v>146.68494600000002</v>
      </c>
      <c r="N169" s="2">
        <f t="shared" si="64"/>
        <v>0.93728400000000001</v>
      </c>
      <c r="O169" s="2">
        <f t="shared" si="64"/>
        <v>0.468642</v>
      </c>
      <c r="P169" s="2">
        <f t="shared" si="64"/>
        <v>0.78107000000000004</v>
      </c>
      <c r="Q169" s="2">
        <f t="shared" si="64"/>
        <v>69.983872000000019</v>
      </c>
      <c r="R169" s="2">
        <f t="shared" si="64"/>
        <v>60.611032000000009</v>
      </c>
      <c r="S169" s="2">
        <f t="shared" si="64"/>
        <v>38.428644000000006</v>
      </c>
      <c r="T169" s="2">
        <f t="shared" si="64"/>
        <v>32.492511999999998</v>
      </c>
      <c r="U169" s="2">
        <f t="shared" si="64"/>
        <v>101.851528</v>
      </c>
      <c r="V169" s="2">
        <f t="shared" si="64"/>
        <v>88.417124000000015</v>
      </c>
      <c r="W169" s="2">
        <f t="shared" si="64"/>
        <v>48.426340000000003</v>
      </c>
      <c r="X169" s="2">
        <f t="shared" si="64"/>
        <v>35.773006000000002</v>
      </c>
      <c r="Y169" s="2">
        <f t="shared" si="64"/>
        <v>63.266670000000005</v>
      </c>
      <c r="Z169" s="2">
        <f t="shared" si="64"/>
        <v>63.110455999999999</v>
      </c>
      <c r="AA169" s="2">
        <f t="shared" si="64"/>
        <v>83.574489999999997</v>
      </c>
      <c r="AB169" s="2">
        <f t="shared" si="64"/>
        <v>79.356712000000002</v>
      </c>
      <c r="AC169" s="2">
        <f t="shared" si="64"/>
        <v>87.011198000000007</v>
      </c>
      <c r="AD169" s="2">
        <f t="shared" si="64"/>
        <v>87.636054000000016</v>
      </c>
      <c r="AE169" s="2">
        <f t="shared" si="64"/>
        <v>122.15934800000002</v>
      </c>
      <c r="AF169" s="2">
        <f t="shared" si="64"/>
        <v>143.09202400000001</v>
      </c>
      <c r="AG169" s="2">
        <f t="shared" si="64"/>
        <v>97.633750000000006</v>
      </c>
      <c r="AH169" s="2">
        <f t="shared" si="64"/>
        <v>97.633750000000006</v>
      </c>
      <c r="AI169" s="2">
        <f t="shared" si="64"/>
        <v>69.827658</v>
      </c>
      <c r="AJ169" s="2">
        <f t="shared" si="64"/>
        <v>55.612184000000006</v>
      </c>
      <c r="AK169" s="2">
        <f t="shared" si="64"/>
        <v>24.056956000000003</v>
      </c>
      <c r="AL169" s="2">
        <f t="shared" si="64"/>
        <v>168.867334</v>
      </c>
      <c r="AM169" s="2">
        <f t="shared" si="64"/>
        <v>1.2497120000000002</v>
      </c>
      <c r="AN169" s="2">
        <f t="shared" si="64"/>
        <v>0</v>
      </c>
      <c r="AO169" s="2">
        <f t="shared" si="64"/>
        <v>37.960002000000003</v>
      </c>
      <c r="AP169" s="2">
        <f t="shared" si="64"/>
        <v>88.729551999999998</v>
      </c>
      <c r="AQ169" s="2">
        <f t="shared" si="64"/>
        <v>0</v>
      </c>
      <c r="AR169" s="2">
        <f t="shared" si="64"/>
        <v>61.235888000000003</v>
      </c>
      <c r="AS169" s="2">
        <f t="shared" si="64"/>
        <v>93.728400000000008</v>
      </c>
    </row>
    <row r="170" spans="1:45" hidden="1" x14ac:dyDescent="0.25">
      <c r="A170" s="2" t="s">
        <v>69</v>
      </c>
      <c r="B170" s="2">
        <v>2221.1</v>
      </c>
      <c r="C170" s="2">
        <f t="shared" si="64"/>
        <v>28.207969999999996</v>
      </c>
      <c r="D170" s="2">
        <f t="shared" si="64"/>
        <v>37.536589999999997</v>
      </c>
      <c r="E170" s="2">
        <f t="shared" si="64"/>
        <v>17.768799999999999</v>
      </c>
      <c r="F170" s="2">
        <f t="shared" si="64"/>
        <v>0.22211</v>
      </c>
      <c r="G170" s="2">
        <f t="shared" si="64"/>
        <v>3.1095400000000004</v>
      </c>
      <c r="H170" s="2">
        <f t="shared" si="64"/>
        <v>40.646129999999999</v>
      </c>
      <c r="I170" s="2">
        <f t="shared" si="64"/>
        <v>20.43412</v>
      </c>
      <c r="J170" s="2">
        <f t="shared" si="64"/>
        <v>62.190799999999989</v>
      </c>
      <c r="K170" s="2">
        <f t="shared" si="64"/>
        <v>37.092369999999995</v>
      </c>
      <c r="L170" s="2">
        <f t="shared" si="64"/>
        <v>32.428060000000002</v>
      </c>
      <c r="M170" s="2">
        <f t="shared" si="64"/>
        <v>44.421999999999997</v>
      </c>
      <c r="N170" s="2">
        <f t="shared" si="64"/>
        <v>0.22211</v>
      </c>
      <c r="O170" s="2">
        <f t="shared" si="64"/>
        <v>0</v>
      </c>
      <c r="P170" s="2">
        <f t="shared" si="64"/>
        <v>0</v>
      </c>
      <c r="Q170" s="2">
        <f t="shared" si="64"/>
        <v>53.306399999999996</v>
      </c>
      <c r="R170" s="2">
        <f t="shared" si="64"/>
        <v>51.529519999999991</v>
      </c>
      <c r="S170" s="2">
        <f t="shared" si="64"/>
        <v>3.55376</v>
      </c>
      <c r="T170" s="2">
        <f t="shared" si="64"/>
        <v>9.5507299999999997</v>
      </c>
      <c r="U170" s="2">
        <f t="shared" si="64"/>
        <v>1.77688</v>
      </c>
      <c r="V170" s="2">
        <f t="shared" si="64"/>
        <v>35.537599999999998</v>
      </c>
      <c r="W170" s="2">
        <f t="shared" si="64"/>
        <v>43.755669999999995</v>
      </c>
      <c r="X170" s="2">
        <f t="shared" si="64"/>
        <v>10.661279999999998</v>
      </c>
      <c r="Y170" s="2">
        <f t="shared" si="64"/>
        <v>43.755669999999995</v>
      </c>
      <c r="Z170" s="2">
        <f t="shared" si="64"/>
        <v>51.751629999999999</v>
      </c>
      <c r="AA170" s="2">
        <f t="shared" si="64"/>
        <v>71.297309999999996</v>
      </c>
      <c r="AB170" s="2">
        <f t="shared" si="64"/>
        <v>42.200899999999997</v>
      </c>
      <c r="AC170" s="2">
        <f t="shared" si="64"/>
        <v>27.985859999999999</v>
      </c>
      <c r="AD170" s="2">
        <f t="shared" si="64"/>
        <v>46.86520999999999</v>
      </c>
      <c r="AE170" s="2">
        <f t="shared" si="64"/>
        <v>63.745569999999994</v>
      </c>
      <c r="AF170" s="2">
        <f t="shared" si="64"/>
        <v>2.2210999999999999</v>
      </c>
      <c r="AG170" s="2">
        <f t="shared" si="64"/>
        <v>47.975760000000001</v>
      </c>
      <c r="AH170" s="2">
        <f t="shared" si="64"/>
        <v>1.1105499999999999</v>
      </c>
      <c r="AI170" s="2">
        <f t="shared" si="64"/>
        <v>45.088329999999992</v>
      </c>
      <c r="AJ170" s="2">
        <f t="shared" si="64"/>
        <v>19.323569999999997</v>
      </c>
      <c r="AK170" s="2">
        <f t="shared" si="64"/>
        <v>6.2190800000000008</v>
      </c>
      <c r="AL170" s="2">
        <f t="shared" si="64"/>
        <v>37.980809999999998</v>
      </c>
      <c r="AM170" s="2">
        <f t="shared" si="64"/>
        <v>0.22211</v>
      </c>
      <c r="AN170" s="2">
        <f t="shared" si="64"/>
        <v>0</v>
      </c>
      <c r="AO170" s="2">
        <f t="shared" si="64"/>
        <v>2.6653199999999995</v>
      </c>
      <c r="AP170" s="2">
        <f t="shared" si="64"/>
        <v>3.9979799999999996</v>
      </c>
      <c r="AQ170" s="2">
        <f t="shared" si="64"/>
        <v>0</v>
      </c>
      <c r="AR170" s="2">
        <f t="shared" si="64"/>
        <v>4.4421999999999997</v>
      </c>
      <c r="AS170" s="2">
        <f t="shared" si="64"/>
        <v>17.546690000000002</v>
      </c>
    </row>
    <row r="171" spans="1:45" hidden="1" x14ac:dyDescent="0.25">
      <c r="A171" s="2" t="s">
        <v>70</v>
      </c>
      <c r="B171" s="2">
        <v>2870.58</v>
      </c>
      <c r="C171" s="2">
        <f t="shared" si="64"/>
        <v>1.43529</v>
      </c>
      <c r="D171" s="2">
        <f t="shared" si="64"/>
        <v>5.7411599999999998</v>
      </c>
      <c r="E171" s="2">
        <f t="shared" si="64"/>
        <v>0.57411599999999996</v>
      </c>
      <c r="F171" s="2">
        <f t="shared" si="64"/>
        <v>0</v>
      </c>
      <c r="G171" s="2">
        <f t="shared" si="64"/>
        <v>0</v>
      </c>
      <c r="H171" s="2">
        <f t="shared" si="64"/>
        <v>10.334087999999999</v>
      </c>
      <c r="I171" s="2">
        <f t="shared" si="64"/>
        <v>5.4541019999999998</v>
      </c>
      <c r="J171" s="2">
        <f t="shared" si="64"/>
        <v>10.334087999999999</v>
      </c>
      <c r="K171" s="2">
        <f t="shared" si="64"/>
        <v>9.1858559999999994</v>
      </c>
      <c r="L171" s="2">
        <f t="shared" si="64"/>
        <v>1.1482319999999999</v>
      </c>
      <c r="M171" s="2">
        <f t="shared" si="64"/>
        <v>4.5929279999999997</v>
      </c>
      <c r="N171" s="2">
        <f t="shared" si="64"/>
        <v>0</v>
      </c>
      <c r="O171" s="2">
        <f t="shared" si="64"/>
        <v>0</v>
      </c>
      <c r="P171" s="2">
        <f t="shared" si="64"/>
        <v>0</v>
      </c>
      <c r="Q171" s="2">
        <f t="shared" si="64"/>
        <v>14.3529</v>
      </c>
      <c r="R171" s="2">
        <f t="shared" si="64"/>
        <v>7.4635079999999991</v>
      </c>
      <c r="S171" s="2">
        <f t="shared" si="64"/>
        <v>1.7223479999999998</v>
      </c>
      <c r="T171" s="2">
        <f t="shared" si="64"/>
        <v>5.4541019999999998</v>
      </c>
      <c r="U171" s="2">
        <f t="shared" si="64"/>
        <v>0</v>
      </c>
      <c r="V171" s="2">
        <f t="shared" si="64"/>
        <v>12.056436</v>
      </c>
      <c r="W171" s="2">
        <f t="shared" si="64"/>
        <v>14.065842</v>
      </c>
      <c r="X171" s="2">
        <f t="shared" si="64"/>
        <v>2.5835219999999999</v>
      </c>
      <c r="Y171" s="2">
        <f t="shared" si="64"/>
        <v>14.927015999999998</v>
      </c>
      <c r="Z171" s="2">
        <f t="shared" si="64"/>
        <v>15.501132</v>
      </c>
      <c r="AA171" s="2">
        <f t="shared" si="64"/>
        <v>16.936422</v>
      </c>
      <c r="AB171" s="2">
        <f t="shared" si="64"/>
        <v>9.4729139999999994</v>
      </c>
      <c r="AC171" s="2">
        <f t="shared" si="64"/>
        <v>3.4446959999999995</v>
      </c>
      <c r="AD171" s="2">
        <f t="shared" si="64"/>
        <v>18.658770000000001</v>
      </c>
      <c r="AE171" s="2">
        <f t="shared" si="64"/>
        <v>15.214074</v>
      </c>
      <c r="AF171" s="2">
        <f t="shared" si="64"/>
        <v>0</v>
      </c>
      <c r="AG171" s="2">
        <f t="shared" si="64"/>
        <v>11.195262</v>
      </c>
      <c r="AH171" s="2">
        <f t="shared" si="64"/>
        <v>0</v>
      </c>
      <c r="AI171" s="2">
        <f t="shared" si="64"/>
        <v>12.630552</v>
      </c>
      <c r="AJ171" s="2">
        <f t="shared" si="64"/>
        <v>8.037624000000001</v>
      </c>
      <c r="AK171" s="2">
        <f t="shared" si="64"/>
        <v>0.86117399999999988</v>
      </c>
      <c r="AL171" s="2">
        <f t="shared" si="64"/>
        <v>3.7317539999999996</v>
      </c>
      <c r="AM171" s="2">
        <f t="shared" si="64"/>
        <v>0</v>
      </c>
      <c r="AN171" s="2">
        <f t="shared" si="64"/>
        <v>0</v>
      </c>
      <c r="AO171" s="2">
        <f t="shared" si="64"/>
        <v>0.28705799999999998</v>
      </c>
      <c r="AP171" s="2">
        <f t="shared" si="64"/>
        <v>0.28705799999999998</v>
      </c>
      <c r="AQ171" s="2">
        <f t="shared" si="64"/>
        <v>0</v>
      </c>
      <c r="AR171" s="2">
        <f t="shared" si="64"/>
        <v>0.86117399999999988</v>
      </c>
      <c r="AS171" s="2">
        <f t="shared" si="64"/>
        <v>0.86117399999999988</v>
      </c>
    </row>
    <row r="172" spans="1:45" hidden="1" x14ac:dyDescent="0.25">
      <c r="A172" s="2" t="s">
        <v>71</v>
      </c>
      <c r="B172" s="2">
        <v>2879.76</v>
      </c>
      <c r="C172" s="2">
        <f t="shared" si="64"/>
        <v>1.151904</v>
      </c>
      <c r="D172" s="2">
        <f t="shared" si="64"/>
        <v>8.3513040000000007</v>
      </c>
      <c r="E172" s="2">
        <f t="shared" si="64"/>
        <v>0.28797600000000001</v>
      </c>
      <c r="F172" s="2">
        <f t="shared" si="64"/>
        <v>0</v>
      </c>
      <c r="G172" s="2">
        <f t="shared" si="64"/>
        <v>0</v>
      </c>
      <c r="H172" s="2">
        <f t="shared" si="64"/>
        <v>12.670944000000002</v>
      </c>
      <c r="I172" s="2">
        <f t="shared" si="64"/>
        <v>6.3354720000000011</v>
      </c>
      <c r="J172" s="2">
        <f t="shared" si="64"/>
        <v>14.974752000000001</v>
      </c>
      <c r="K172" s="2">
        <f t="shared" si="64"/>
        <v>12.094992</v>
      </c>
      <c r="L172" s="2">
        <f t="shared" si="64"/>
        <v>0.86392800000000003</v>
      </c>
      <c r="M172" s="2">
        <f t="shared" si="64"/>
        <v>4.031664000000001</v>
      </c>
      <c r="N172" s="2">
        <f t="shared" si="64"/>
        <v>0</v>
      </c>
      <c r="O172" s="2">
        <f t="shared" si="64"/>
        <v>0</v>
      </c>
      <c r="P172" s="2">
        <f t="shared" si="64"/>
        <v>0</v>
      </c>
      <c r="Q172" s="2">
        <f t="shared" si="64"/>
        <v>19.294392000000002</v>
      </c>
      <c r="R172" s="2">
        <f t="shared" si="64"/>
        <v>9.2152320000000003</v>
      </c>
      <c r="S172" s="2">
        <f t="shared" si="64"/>
        <v>0.86392800000000003</v>
      </c>
      <c r="T172" s="2">
        <f t="shared" si="64"/>
        <v>2.5917840000000001</v>
      </c>
      <c r="U172" s="2">
        <f t="shared" si="64"/>
        <v>0</v>
      </c>
      <c r="V172" s="2">
        <f t="shared" si="64"/>
        <v>10.943088000000001</v>
      </c>
      <c r="W172" s="2">
        <f t="shared" si="64"/>
        <v>17.278560000000002</v>
      </c>
      <c r="X172" s="2">
        <f t="shared" si="64"/>
        <v>3.1677360000000006</v>
      </c>
      <c r="Y172" s="2">
        <f t="shared" si="64"/>
        <v>18.430464000000001</v>
      </c>
      <c r="Z172" s="2">
        <f t="shared" si="64"/>
        <v>15.262728000000001</v>
      </c>
      <c r="AA172" s="2">
        <f t="shared" si="64"/>
        <v>11.51904</v>
      </c>
      <c r="AB172" s="2">
        <f t="shared" si="64"/>
        <v>9.2152320000000003</v>
      </c>
      <c r="AC172" s="2">
        <f t="shared" si="64"/>
        <v>8.063328000000002</v>
      </c>
      <c r="AD172" s="2">
        <f t="shared" si="64"/>
        <v>17.566535999999999</v>
      </c>
      <c r="AE172" s="2">
        <f t="shared" si="64"/>
        <v>17.854512</v>
      </c>
      <c r="AF172" s="2">
        <f t="shared" si="64"/>
        <v>0</v>
      </c>
      <c r="AG172" s="2">
        <f t="shared" si="64"/>
        <v>16.990584000000002</v>
      </c>
      <c r="AH172" s="2">
        <f t="shared" si="64"/>
        <v>0</v>
      </c>
      <c r="AI172" s="2">
        <f t="shared" si="64"/>
        <v>14.398800000000001</v>
      </c>
      <c r="AJ172" s="2">
        <f t="shared" si="64"/>
        <v>6.9114240000000002</v>
      </c>
      <c r="AK172" s="2">
        <f t="shared" si="64"/>
        <v>0.57595200000000002</v>
      </c>
      <c r="AL172" s="2">
        <f t="shared" si="64"/>
        <v>4.8955920000000006</v>
      </c>
      <c r="AM172" s="2">
        <f t="shared" si="64"/>
        <v>0</v>
      </c>
      <c r="AN172" s="2">
        <f t="shared" si="64"/>
        <v>0</v>
      </c>
      <c r="AO172" s="2">
        <f t="shared" si="64"/>
        <v>0.28797600000000001</v>
      </c>
      <c r="AP172" s="2">
        <f t="shared" si="64"/>
        <v>0.28797600000000001</v>
      </c>
      <c r="AQ172" s="2">
        <f t="shared" si="64"/>
        <v>0</v>
      </c>
      <c r="AR172" s="2">
        <f t="shared" si="64"/>
        <v>0.86392800000000003</v>
      </c>
      <c r="AS172" s="2">
        <f t="shared" si="64"/>
        <v>1.151904</v>
      </c>
    </row>
    <row r="173" spans="1:45" hidden="1" x14ac:dyDescent="0.25">
      <c r="A173" s="2" t="s">
        <v>72</v>
      </c>
      <c r="B173" s="2">
        <v>3531.68</v>
      </c>
      <c r="C173" s="2">
        <f t="shared" si="64"/>
        <v>2.8253439999999999</v>
      </c>
      <c r="D173" s="2">
        <f t="shared" si="64"/>
        <v>0</v>
      </c>
      <c r="E173" s="2">
        <f t="shared" si="64"/>
        <v>0</v>
      </c>
      <c r="F173" s="2">
        <f t="shared" si="64"/>
        <v>0</v>
      </c>
      <c r="G173" s="2">
        <f t="shared" si="64"/>
        <v>0</v>
      </c>
      <c r="H173" s="2">
        <f t="shared" si="64"/>
        <v>0</v>
      </c>
      <c r="I173" s="2">
        <f t="shared" si="64"/>
        <v>1.4126719999999999</v>
      </c>
      <c r="J173" s="2">
        <f t="shared" si="64"/>
        <v>1.4126719999999999</v>
      </c>
      <c r="K173" s="2">
        <f t="shared" si="64"/>
        <v>2.4721760000000002</v>
      </c>
      <c r="L173" s="2">
        <f t="shared" si="64"/>
        <v>0</v>
      </c>
      <c r="M173" s="2">
        <f t="shared" si="64"/>
        <v>0.70633599999999996</v>
      </c>
      <c r="N173" s="2">
        <f t="shared" si="64"/>
        <v>0</v>
      </c>
      <c r="O173" s="2">
        <f t="shared" si="64"/>
        <v>0</v>
      </c>
      <c r="P173" s="2">
        <f t="shared" si="64"/>
        <v>0</v>
      </c>
      <c r="Q173" s="2">
        <f t="shared" si="64"/>
        <v>1.4126719999999999</v>
      </c>
      <c r="R173" s="2">
        <f t="shared" si="64"/>
        <v>1.4126719999999999</v>
      </c>
      <c r="S173" s="2">
        <f t="shared" si="64"/>
        <v>0.70633599999999996</v>
      </c>
      <c r="T173" s="2">
        <f t="shared" si="64"/>
        <v>1.0595039999999998</v>
      </c>
      <c r="U173" s="2">
        <f t="shared" si="64"/>
        <v>0</v>
      </c>
      <c r="V173" s="2">
        <f t="shared" si="64"/>
        <v>0</v>
      </c>
      <c r="W173" s="2">
        <f t="shared" si="64"/>
        <v>0.70633599999999996</v>
      </c>
      <c r="X173" s="2">
        <f t="shared" si="64"/>
        <v>0.70633599999999996</v>
      </c>
      <c r="Y173" s="2">
        <f t="shared" si="64"/>
        <v>2.1190079999999996</v>
      </c>
      <c r="Z173" s="2">
        <f t="shared" si="64"/>
        <v>0.70633599999999996</v>
      </c>
      <c r="AA173" s="2">
        <f t="shared" si="64"/>
        <v>0.70633599999999996</v>
      </c>
      <c r="AB173" s="2">
        <f t="shared" si="64"/>
        <v>0</v>
      </c>
      <c r="AC173" s="2">
        <f t="shared" si="64"/>
        <v>0.70633599999999996</v>
      </c>
      <c r="AD173" s="2">
        <f t="shared" si="64"/>
        <v>0.70633599999999996</v>
      </c>
      <c r="AE173" s="2">
        <f t="shared" si="64"/>
        <v>2.1190079999999996</v>
      </c>
      <c r="AF173" s="2">
        <f t="shared" si="64"/>
        <v>0</v>
      </c>
      <c r="AG173" s="2">
        <f t="shared" si="64"/>
        <v>0</v>
      </c>
      <c r="AH173" s="2">
        <f t="shared" si="64"/>
        <v>0</v>
      </c>
      <c r="AI173" s="2">
        <f t="shared" si="64"/>
        <v>0.70633599999999996</v>
      </c>
      <c r="AJ173" s="2">
        <f t="shared" si="64"/>
        <v>0</v>
      </c>
      <c r="AK173" s="2">
        <f t="shared" si="64"/>
        <v>0</v>
      </c>
      <c r="AL173" s="2">
        <f t="shared" si="64"/>
        <v>0</v>
      </c>
      <c r="AM173" s="2">
        <f t="shared" si="64"/>
        <v>0</v>
      </c>
      <c r="AN173" s="2">
        <f t="shared" si="64"/>
        <v>0</v>
      </c>
      <c r="AO173" s="2">
        <f t="shared" si="64"/>
        <v>0</v>
      </c>
      <c r="AP173" s="2">
        <f t="shared" si="64"/>
        <v>0</v>
      </c>
      <c r="AQ173" s="2">
        <f t="shared" ref="AQ173:AS173" si="65">AQ10/100*$B173</f>
        <v>0</v>
      </c>
      <c r="AR173" s="2">
        <f t="shared" si="65"/>
        <v>0.35316799999999998</v>
      </c>
      <c r="AS173" s="2">
        <f t="shared" si="65"/>
        <v>0</v>
      </c>
    </row>
    <row r="174" spans="1:45" hidden="1" x14ac:dyDescent="0.25">
      <c r="A174" s="2" t="s">
        <v>73</v>
      </c>
      <c r="B174" s="2">
        <v>3538.6</v>
      </c>
      <c r="C174" s="2">
        <f t="shared" ref="C174:AS178" si="66">C11/100*$B174</f>
        <v>1.06158</v>
      </c>
      <c r="D174" s="2">
        <f t="shared" si="66"/>
        <v>0</v>
      </c>
      <c r="E174" s="2">
        <f t="shared" si="66"/>
        <v>0</v>
      </c>
      <c r="F174" s="2">
        <f t="shared" si="66"/>
        <v>0</v>
      </c>
      <c r="G174" s="2">
        <f t="shared" si="66"/>
        <v>0</v>
      </c>
      <c r="H174" s="2">
        <f t="shared" si="66"/>
        <v>0</v>
      </c>
      <c r="I174" s="2">
        <f t="shared" si="66"/>
        <v>0.35386000000000001</v>
      </c>
      <c r="J174" s="2">
        <f t="shared" si="66"/>
        <v>0.35386000000000001</v>
      </c>
      <c r="K174" s="2">
        <f t="shared" si="66"/>
        <v>0.70772000000000002</v>
      </c>
      <c r="L174" s="2">
        <f t="shared" si="66"/>
        <v>0</v>
      </c>
      <c r="M174" s="2">
        <f t="shared" si="66"/>
        <v>0.35386000000000001</v>
      </c>
      <c r="N174" s="2">
        <f t="shared" si="66"/>
        <v>0</v>
      </c>
      <c r="O174" s="2">
        <f t="shared" si="66"/>
        <v>0</v>
      </c>
      <c r="P174" s="2">
        <f t="shared" si="66"/>
        <v>0</v>
      </c>
      <c r="Q174" s="2">
        <f t="shared" si="66"/>
        <v>0.70772000000000002</v>
      </c>
      <c r="R174" s="2">
        <f t="shared" si="66"/>
        <v>0.70772000000000002</v>
      </c>
      <c r="S174" s="2">
        <f t="shared" si="66"/>
        <v>0</v>
      </c>
      <c r="T174" s="2">
        <f t="shared" si="66"/>
        <v>0</v>
      </c>
      <c r="U174" s="2">
        <f t="shared" si="66"/>
        <v>0</v>
      </c>
      <c r="V174" s="2">
        <f t="shared" si="66"/>
        <v>0</v>
      </c>
      <c r="W174" s="2">
        <f t="shared" si="66"/>
        <v>0</v>
      </c>
      <c r="X174" s="2">
        <f t="shared" si="66"/>
        <v>0</v>
      </c>
      <c r="Y174" s="2">
        <f t="shared" si="66"/>
        <v>0.35386000000000001</v>
      </c>
      <c r="Z174" s="2">
        <f t="shared" si="66"/>
        <v>0</v>
      </c>
      <c r="AA174" s="2">
        <f t="shared" si="66"/>
        <v>0.35386000000000001</v>
      </c>
      <c r="AB174" s="2">
        <f t="shared" si="66"/>
        <v>0.35386000000000001</v>
      </c>
      <c r="AC174" s="2">
        <f t="shared" si="66"/>
        <v>0</v>
      </c>
      <c r="AD174" s="2">
        <f t="shared" si="66"/>
        <v>0</v>
      </c>
      <c r="AE174" s="2">
        <f t="shared" si="66"/>
        <v>0.70772000000000002</v>
      </c>
      <c r="AF174" s="2">
        <f t="shared" si="66"/>
        <v>0</v>
      </c>
      <c r="AG174" s="2">
        <f t="shared" si="66"/>
        <v>0</v>
      </c>
      <c r="AH174" s="2">
        <f t="shared" si="66"/>
        <v>0</v>
      </c>
      <c r="AI174" s="2">
        <f t="shared" si="66"/>
        <v>0</v>
      </c>
      <c r="AJ174" s="2">
        <f t="shared" si="66"/>
        <v>0</v>
      </c>
      <c r="AK174" s="2">
        <f t="shared" si="66"/>
        <v>0</v>
      </c>
      <c r="AL174" s="2">
        <f t="shared" si="66"/>
        <v>0</v>
      </c>
      <c r="AM174" s="2">
        <f t="shared" si="66"/>
        <v>0</v>
      </c>
      <c r="AN174" s="2">
        <f t="shared" si="66"/>
        <v>0</v>
      </c>
      <c r="AO174" s="2">
        <f t="shared" si="66"/>
        <v>0</v>
      </c>
      <c r="AP174" s="2">
        <f t="shared" si="66"/>
        <v>0</v>
      </c>
      <c r="AQ174" s="2">
        <f t="shared" si="66"/>
        <v>0</v>
      </c>
      <c r="AR174" s="2">
        <f t="shared" si="66"/>
        <v>0</v>
      </c>
      <c r="AS174" s="2">
        <f t="shared" si="66"/>
        <v>0</v>
      </c>
    </row>
    <row r="175" spans="1:45" hidden="1" x14ac:dyDescent="0.25">
      <c r="A175" s="2" t="s">
        <v>74</v>
      </c>
      <c r="B175" s="2">
        <v>4198.24</v>
      </c>
      <c r="C175" s="2">
        <f t="shared" si="66"/>
        <v>0</v>
      </c>
      <c r="D175" s="2">
        <f t="shared" si="66"/>
        <v>0</v>
      </c>
      <c r="E175" s="2">
        <f t="shared" si="66"/>
        <v>0</v>
      </c>
      <c r="F175" s="2">
        <f t="shared" si="66"/>
        <v>0</v>
      </c>
      <c r="G175" s="2">
        <f t="shared" si="66"/>
        <v>0</v>
      </c>
      <c r="H175" s="2">
        <f t="shared" si="66"/>
        <v>0</v>
      </c>
      <c r="I175" s="2">
        <f t="shared" si="66"/>
        <v>0</v>
      </c>
      <c r="J175" s="2">
        <f t="shared" si="66"/>
        <v>0</v>
      </c>
      <c r="K175" s="2">
        <f t="shared" si="66"/>
        <v>0</v>
      </c>
      <c r="L175" s="2">
        <f t="shared" si="66"/>
        <v>0</v>
      </c>
      <c r="M175" s="2">
        <f t="shared" si="66"/>
        <v>0</v>
      </c>
      <c r="N175" s="2">
        <f t="shared" si="66"/>
        <v>0</v>
      </c>
      <c r="O175" s="2">
        <f t="shared" si="66"/>
        <v>0</v>
      </c>
      <c r="P175" s="2">
        <f t="shared" si="66"/>
        <v>0</v>
      </c>
      <c r="Q175" s="2">
        <f t="shared" si="66"/>
        <v>0</v>
      </c>
      <c r="R175" s="2">
        <f t="shared" si="66"/>
        <v>0.41982399999999997</v>
      </c>
      <c r="S175" s="2">
        <f t="shared" si="66"/>
        <v>0</v>
      </c>
      <c r="T175" s="2">
        <f t="shared" si="66"/>
        <v>0</v>
      </c>
      <c r="U175" s="2">
        <f t="shared" si="66"/>
        <v>0</v>
      </c>
      <c r="V175" s="2">
        <f t="shared" si="66"/>
        <v>0</v>
      </c>
      <c r="W175" s="2">
        <f t="shared" si="66"/>
        <v>0</v>
      </c>
      <c r="X175" s="2">
        <f t="shared" si="66"/>
        <v>0</v>
      </c>
      <c r="Y175" s="2">
        <f t="shared" si="66"/>
        <v>0</v>
      </c>
      <c r="Z175" s="2">
        <f t="shared" si="66"/>
        <v>0</v>
      </c>
      <c r="AA175" s="2">
        <f t="shared" si="66"/>
        <v>0</v>
      </c>
      <c r="AB175" s="2">
        <f t="shared" si="66"/>
        <v>0</v>
      </c>
      <c r="AC175" s="2">
        <f t="shared" si="66"/>
        <v>0</v>
      </c>
      <c r="AD175" s="2">
        <f t="shared" si="66"/>
        <v>0</v>
      </c>
      <c r="AE175" s="2">
        <f t="shared" si="66"/>
        <v>0</v>
      </c>
      <c r="AF175" s="2">
        <f t="shared" si="66"/>
        <v>0</v>
      </c>
      <c r="AG175" s="2">
        <f t="shared" si="66"/>
        <v>0</v>
      </c>
      <c r="AH175" s="2">
        <f t="shared" si="66"/>
        <v>0</v>
      </c>
      <c r="AI175" s="2">
        <f t="shared" si="66"/>
        <v>0</v>
      </c>
      <c r="AJ175" s="2">
        <f t="shared" si="66"/>
        <v>0</v>
      </c>
      <c r="AK175" s="2">
        <f t="shared" si="66"/>
        <v>0</v>
      </c>
      <c r="AL175" s="2">
        <f t="shared" si="66"/>
        <v>0</v>
      </c>
      <c r="AM175" s="2">
        <f t="shared" si="66"/>
        <v>0</v>
      </c>
      <c r="AN175" s="2">
        <f t="shared" si="66"/>
        <v>0</v>
      </c>
      <c r="AO175" s="2">
        <f t="shared" si="66"/>
        <v>0</v>
      </c>
      <c r="AP175" s="2">
        <f t="shared" si="66"/>
        <v>0</v>
      </c>
      <c r="AQ175" s="2">
        <f t="shared" si="66"/>
        <v>0</v>
      </c>
      <c r="AR175" s="2">
        <f t="shared" si="66"/>
        <v>0</v>
      </c>
      <c r="AS175" s="2">
        <f t="shared" si="66"/>
        <v>0</v>
      </c>
    </row>
    <row r="176" spans="1:45" hidden="1" x14ac:dyDescent="0.25">
      <c r="A176" s="2" t="s">
        <v>75</v>
      </c>
      <c r="B176" s="2">
        <v>0</v>
      </c>
      <c r="C176" s="2">
        <f t="shared" si="66"/>
        <v>0</v>
      </c>
      <c r="D176" s="2">
        <f t="shared" si="66"/>
        <v>0</v>
      </c>
      <c r="E176" s="2">
        <f t="shared" si="66"/>
        <v>0</v>
      </c>
      <c r="F176" s="2">
        <f t="shared" si="66"/>
        <v>0</v>
      </c>
      <c r="G176" s="2">
        <f t="shared" si="66"/>
        <v>0</v>
      </c>
      <c r="H176" s="2">
        <f t="shared" si="66"/>
        <v>0</v>
      </c>
      <c r="I176" s="2">
        <f t="shared" si="66"/>
        <v>0</v>
      </c>
      <c r="J176" s="2">
        <f t="shared" si="66"/>
        <v>0</v>
      </c>
      <c r="K176" s="2">
        <f t="shared" si="66"/>
        <v>0</v>
      </c>
      <c r="L176" s="2">
        <f t="shared" si="66"/>
        <v>0</v>
      </c>
      <c r="M176" s="2">
        <f t="shared" si="66"/>
        <v>0</v>
      </c>
      <c r="N176" s="2">
        <f t="shared" si="66"/>
        <v>0</v>
      </c>
      <c r="O176" s="2">
        <f t="shared" si="66"/>
        <v>0</v>
      </c>
      <c r="P176" s="2">
        <f t="shared" si="66"/>
        <v>0</v>
      </c>
      <c r="Q176" s="2">
        <f t="shared" si="66"/>
        <v>0</v>
      </c>
      <c r="R176" s="2">
        <f t="shared" si="66"/>
        <v>0</v>
      </c>
      <c r="S176" s="2">
        <f t="shared" si="66"/>
        <v>0</v>
      </c>
      <c r="T176" s="2">
        <f t="shared" si="66"/>
        <v>0</v>
      </c>
      <c r="U176" s="2">
        <f t="shared" si="66"/>
        <v>0</v>
      </c>
      <c r="V176" s="2">
        <f t="shared" si="66"/>
        <v>0</v>
      </c>
      <c r="W176" s="2">
        <f t="shared" si="66"/>
        <v>0</v>
      </c>
      <c r="X176" s="2">
        <f t="shared" si="66"/>
        <v>0</v>
      </c>
      <c r="Y176" s="2">
        <f t="shared" si="66"/>
        <v>0</v>
      </c>
      <c r="Z176" s="2">
        <f t="shared" si="66"/>
        <v>0</v>
      </c>
      <c r="AA176" s="2">
        <f t="shared" si="66"/>
        <v>0</v>
      </c>
      <c r="AB176" s="2">
        <f t="shared" si="66"/>
        <v>0</v>
      </c>
      <c r="AC176" s="2">
        <f t="shared" si="66"/>
        <v>0</v>
      </c>
      <c r="AD176" s="2">
        <f t="shared" si="66"/>
        <v>0</v>
      </c>
      <c r="AE176" s="2">
        <f t="shared" si="66"/>
        <v>0</v>
      </c>
      <c r="AF176" s="2">
        <f t="shared" si="66"/>
        <v>0</v>
      </c>
      <c r="AG176" s="2">
        <f t="shared" si="66"/>
        <v>0</v>
      </c>
      <c r="AH176" s="2">
        <f t="shared" si="66"/>
        <v>0</v>
      </c>
      <c r="AI176" s="2">
        <f t="shared" si="66"/>
        <v>0</v>
      </c>
      <c r="AJ176" s="2">
        <f t="shared" si="66"/>
        <v>0</v>
      </c>
      <c r="AK176" s="2">
        <f t="shared" si="66"/>
        <v>0</v>
      </c>
      <c r="AL176" s="2">
        <f t="shared" si="66"/>
        <v>0</v>
      </c>
      <c r="AM176" s="2">
        <f t="shared" si="66"/>
        <v>0</v>
      </c>
      <c r="AN176" s="2">
        <f t="shared" si="66"/>
        <v>0</v>
      </c>
      <c r="AO176" s="2">
        <f t="shared" si="66"/>
        <v>0</v>
      </c>
      <c r="AP176" s="2">
        <f t="shared" si="66"/>
        <v>0</v>
      </c>
      <c r="AQ176" s="2">
        <f t="shared" si="66"/>
        <v>0</v>
      </c>
      <c r="AR176" s="2">
        <f t="shared" si="66"/>
        <v>0</v>
      </c>
      <c r="AS176" s="2">
        <f t="shared" si="66"/>
        <v>0</v>
      </c>
    </row>
    <row r="177" spans="1:45" hidden="1" x14ac:dyDescent="0.25">
      <c r="A177" s="2" t="s">
        <v>76</v>
      </c>
      <c r="B177" s="2">
        <v>0</v>
      </c>
      <c r="C177" s="2">
        <f t="shared" si="66"/>
        <v>0</v>
      </c>
      <c r="D177" s="2">
        <f t="shared" si="66"/>
        <v>0</v>
      </c>
      <c r="E177" s="2">
        <f t="shared" si="66"/>
        <v>0</v>
      </c>
      <c r="F177" s="2">
        <f t="shared" si="66"/>
        <v>0</v>
      </c>
      <c r="G177" s="2">
        <f t="shared" si="66"/>
        <v>0</v>
      </c>
      <c r="H177" s="2">
        <f t="shared" si="66"/>
        <v>0</v>
      </c>
      <c r="I177" s="2">
        <f t="shared" si="66"/>
        <v>0</v>
      </c>
      <c r="J177" s="2">
        <f t="shared" si="66"/>
        <v>0</v>
      </c>
      <c r="K177" s="2">
        <f t="shared" si="66"/>
        <v>0</v>
      </c>
      <c r="L177" s="2">
        <f t="shared" si="66"/>
        <v>0</v>
      </c>
      <c r="M177" s="2">
        <f t="shared" si="66"/>
        <v>0</v>
      </c>
      <c r="N177" s="2">
        <f t="shared" si="66"/>
        <v>0</v>
      </c>
      <c r="O177" s="2">
        <f t="shared" si="66"/>
        <v>0</v>
      </c>
      <c r="P177" s="2">
        <f t="shared" si="66"/>
        <v>0</v>
      </c>
      <c r="Q177" s="2">
        <f t="shared" si="66"/>
        <v>0</v>
      </c>
      <c r="R177" s="2">
        <f t="shared" si="66"/>
        <v>0</v>
      </c>
      <c r="S177" s="2">
        <f t="shared" si="66"/>
        <v>0</v>
      </c>
      <c r="T177" s="2">
        <f t="shared" si="66"/>
        <v>0</v>
      </c>
      <c r="U177" s="2">
        <f t="shared" si="66"/>
        <v>0</v>
      </c>
      <c r="V177" s="2">
        <f t="shared" si="66"/>
        <v>0</v>
      </c>
      <c r="W177" s="2">
        <f t="shared" si="66"/>
        <v>0</v>
      </c>
      <c r="X177" s="2">
        <f t="shared" si="66"/>
        <v>0</v>
      </c>
      <c r="Y177" s="2">
        <f t="shared" si="66"/>
        <v>0</v>
      </c>
      <c r="Z177" s="2">
        <f t="shared" si="66"/>
        <v>0</v>
      </c>
      <c r="AA177" s="2">
        <f t="shared" si="66"/>
        <v>0</v>
      </c>
      <c r="AB177" s="2">
        <f t="shared" si="66"/>
        <v>0</v>
      </c>
      <c r="AC177" s="2">
        <f t="shared" si="66"/>
        <v>0</v>
      </c>
      <c r="AD177" s="2">
        <f t="shared" si="66"/>
        <v>0</v>
      </c>
      <c r="AE177" s="2">
        <f t="shared" si="66"/>
        <v>0</v>
      </c>
      <c r="AF177" s="2">
        <f t="shared" si="66"/>
        <v>0</v>
      </c>
      <c r="AG177" s="2">
        <f t="shared" si="66"/>
        <v>0</v>
      </c>
      <c r="AH177" s="2">
        <f t="shared" si="66"/>
        <v>0</v>
      </c>
      <c r="AI177" s="2">
        <f t="shared" si="66"/>
        <v>0</v>
      </c>
      <c r="AJ177" s="2">
        <f t="shared" si="66"/>
        <v>0</v>
      </c>
      <c r="AK177" s="2">
        <f t="shared" si="66"/>
        <v>0</v>
      </c>
      <c r="AL177" s="2">
        <f t="shared" si="66"/>
        <v>0</v>
      </c>
      <c r="AM177" s="2">
        <f t="shared" si="66"/>
        <v>0</v>
      </c>
      <c r="AN177" s="2">
        <f t="shared" si="66"/>
        <v>0</v>
      </c>
      <c r="AO177" s="2">
        <f t="shared" si="66"/>
        <v>0</v>
      </c>
      <c r="AP177" s="2">
        <f t="shared" si="66"/>
        <v>0</v>
      </c>
      <c r="AQ177" s="2">
        <f t="shared" si="66"/>
        <v>0</v>
      </c>
      <c r="AR177" s="2">
        <f t="shared" si="66"/>
        <v>0</v>
      </c>
      <c r="AS177" s="2">
        <f t="shared" si="66"/>
        <v>0</v>
      </c>
    </row>
    <row r="178" spans="1:45" hidden="1" x14ac:dyDescent="0.25">
      <c r="A178" s="2" t="s">
        <v>77</v>
      </c>
      <c r="B178" s="2">
        <v>0</v>
      </c>
      <c r="C178" s="2">
        <f t="shared" si="66"/>
        <v>0</v>
      </c>
      <c r="D178" s="2">
        <f t="shared" si="66"/>
        <v>0</v>
      </c>
      <c r="E178" s="2">
        <f t="shared" si="66"/>
        <v>0</v>
      </c>
      <c r="F178" s="2">
        <f t="shared" si="66"/>
        <v>0</v>
      </c>
      <c r="G178" s="2">
        <f t="shared" si="66"/>
        <v>0</v>
      </c>
      <c r="H178" s="2">
        <f t="shared" si="66"/>
        <v>0</v>
      </c>
      <c r="I178" s="2">
        <f t="shared" si="66"/>
        <v>0</v>
      </c>
      <c r="J178" s="2">
        <f t="shared" si="66"/>
        <v>0</v>
      </c>
      <c r="K178" s="2">
        <f t="shared" si="66"/>
        <v>0</v>
      </c>
      <c r="L178" s="2">
        <f t="shared" si="66"/>
        <v>0</v>
      </c>
      <c r="M178" s="2">
        <f t="shared" si="66"/>
        <v>0</v>
      </c>
      <c r="N178" s="2">
        <f t="shared" si="66"/>
        <v>0</v>
      </c>
      <c r="O178" s="2">
        <f t="shared" si="66"/>
        <v>0</v>
      </c>
      <c r="P178" s="2">
        <f t="shared" si="66"/>
        <v>0</v>
      </c>
      <c r="Q178" s="2">
        <f t="shared" si="66"/>
        <v>0</v>
      </c>
      <c r="R178" s="2">
        <f t="shared" si="66"/>
        <v>0</v>
      </c>
      <c r="S178" s="2">
        <f t="shared" si="66"/>
        <v>0</v>
      </c>
      <c r="T178" s="2">
        <f t="shared" si="66"/>
        <v>0</v>
      </c>
      <c r="U178" s="2">
        <f t="shared" si="66"/>
        <v>0</v>
      </c>
      <c r="V178" s="2">
        <f t="shared" si="66"/>
        <v>0</v>
      </c>
      <c r="W178" s="2">
        <f t="shared" si="66"/>
        <v>0</v>
      </c>
      <c r="X178" s="2">
        <f t="shared" si="66"/>
        <v>0</v>
      </c>
      <c r="Y178" s="2">
        <f t="shared" si="66"/>
        <v>0</v>
      </c>
      <c r="Z178" s="2">
        <f t="shared" si="66"/>
        <v>0</v>
      </c>
      <c r="AA178" s="2">
        <f t="shared" si="66"/>
        <v>0</v>
      </c>
      <c r="AB178" s="2">
        <f t="shared" si="66"/>
        <v>0</v>
      </c>
      <c r="AC178" s="2">
        <f t="shared" si="66"/>
        <v>0</v>
      </c>
      <c r="AD178" s="2">
        <f t="shared" si="66"/>
        <v>0</v>
      </c>
      <c r="AE178" s="2">
        <f t="shared" si="66"/>
        <v>0</v>
      </c>
      <c r="AF178" s="2">
        <f t="shared" si="66"/>
        <v>0</v>
      </c>
      <c r="AG178" s="2">
        <f t="shared" si="66"/>
        <v>0</v>
      </c>
      <c r="AH178" s="2">
        <f t="shared" si="66"/>
        <v>0</v>
      </c>
      <c r="AI178" s="2">
        <f t="shared" si="66"/>
        <v>0</v>
      </c>
      <c r="AJ178" s="2">
        <f t="shared" si="66"/>
        <v>0</v>
      </c>
      <c r="AK178" s="2">
        <f t="shared" si="66"/>
        <v>0</v>
      </c>
      <c r="AL178" s="2">
        <f t="shared" si="66"/>
        <v>0</v>
      </c>
      <c r="AM178" s="2">
        <f t="shared" si="66"/>
        <v>0</v>
      </c>
      <c r="AN178" s="2">
        <f t="shared" si="66"/>
        <v>0</v>
      </c>
      <c r="AO178" s="2">
        <f t="shared" si="66"/>
        <v>0</v>
      </c>
      <c r="AP178" s="2">
        <f t="shared" si="66"/>
        <v>0</v>
      </c>
      <c r="AQ178" s="2">
        <f t="shared" si="66"/>
        <v>0</v>
      </c>
      <c r="AR178" s="2">
        <f t="shared" si="66"/>
        <v>0</v>
      </c>
      <c r="AS178" s="2">
        <f t="shared" si="66"/>
        <v>0</v>
      </c>
    </row>
    <row r="179" spans="1:45" hidden="1" x14ac:dyDescent="0.25">
      <c r="A179" s="2" t="s">
        <v>78</v>
      </c>
      <c r="C179" s="2">
        <f>SUM(C168:C178)</f>
        <v>966.52425599999992</v>
      </c>
      <c r="D179" s="2">
        <f t="shared" ref="D179:AS179" si="67">SUM(D168:D178)</f>
        <v>972.72525000000007</v>
      </c>
      <c r="E179" s="2">
        <f>SUM(E168:E178)</f>
        <v>945.25546599999996</v>
      </c>
      <c r="F179" s="2">
        <f>SUM(F168:F178)</f>
        <v>942.10687600000006</v>
      </c>
      <c r="G179" s="2">
        <f t="shared" si="67"/>
        <v>947.27045799999996</v>
      </c>
      <c r="H179" s="2">
        <f>SUM(H168:H178)</f>
        <v>963.32840999999985</v>
      </c>
      <c r="I179" s="2">
        <f>SUM(I168:I178)</f>
        <v>937.05763600000012</v>
      </c>
      <c r="J179" s="2">
        <f>SUM(J168:J178)</f>
        <v>998.22339999999986</v>
      </c>
      <c r="K179" s="2">
        <f t="shared" si="67"/>
        <v>960.2016299999998</v>
      </c>
      <c r="L179" s="2">
        <f>SUM(L168:L178)</f>
        <v>997.257836</v>
      </c>
      <c r="M179" s="2">
        <f>SUM(M168:M178)</f>
        <v>986.79102999999986</v>
      </c>
      <c r="N179" s="2">
        <f t="shared" si="67"/>
        <v>890.93627399999991</v>
      </c>
      <c r="O179" s="2">
        <f t="shared" si="67"/>
        <v>890.24552199999994</v>
      </c>
      <c r="P179" s="2">
        <f t="shared" si="67"/>
        <v>890.8254179999999</v>
      </c>
      <c r="Q179" s="2">
        <f t="shared" si="67"/>
        <v>977.86666000000002</v>
      </c>
      <c r="R179" s="2">
        <f>SUM(R168:R178)</f>
        <v>959.35127999999997</v>
      </c>
      <c r="S179" s="2">
        <f>SUM(S168:S178)</f>
        <v>912.22795999999983</v>
      </c>
      <c r="T179" s="2">
        <f t="shared" si="67"/>
        <v>917.477484</v>
      </c>
      <c r="U179" s="2">
        <f t="shared" si="67"/>
        <v>936.25629199999992</v>
      </c>
      <c r="V179" s="2">
        <f>SUM(V168:V178)</f>
        <v>965.94126399999993</v>
      </c>
      <c r="W179" s="2">
        <f t="shared" si="67"/>
        <v>960.51602799999978</v>
      </c>
      <c r="X179" s="2">
        <f t="shared" si="67"/>
        <v>915.03039999999999</v>
      </c>
      <c r="Y179" s="2">
        <f t="shared" si="67"/>
        <v>967.18906400000003</v>
      </c>
      <c r="Z179" s="2">
        <f t="shared" si="67"/>
        <v>969.3313179999999</v>
      </c>
      <c r="AA179" s="2">
        <f>SUM(AA168:AA178)</f>
        <v>989.555294</v>
      </c>
      <c r="AB179" s="2">
        <f t="shared" si="67"/>
        <v>963.77696600000002</v>
      </c>
      <c r="AC179" s="2">
        <f t="shared" si="67"/>
        <v>947.26830599999994</v>
      </c>
      <c r="AD179" s="2">
        <f t="shared" si="67"/>
        <v>980.43444999999997</v>
      </c>
      <c r="AE179" s="2">
        <f t="shared" si="67"/>
        <v>1003.7875080000001</v>
      </c>
      <c r="AF179" s="2">
        <f t="shared" si="67"/>
        <v>948.07374800000002</v>
      </c>
      <c r="AG179" s="2">
        <f t="shared" si="67"/>
        <v>976.82344799999987</v>
      </c>
      <c r="AH179" s="2">
        <f t="shared" si="67"/>
        <v>930.56977999999981</v>
      </c>
      <c r="AI179" s="2">
        <f t="shared" si="67"/>
        <v>967.07720800000004</v>
      </c>
      <c r="AJ179" s="2">
        <f>SUM(AJ168:AJ178)</f>
        <v>934.90536999999995</v>
      </c>
      <c r="AK179" s="2">
        <f t="shared" si="67"/>
        <v>906.51183400000002</v>
      </c>
      <c r="AL179" s="2">
        <f>SUM(AL168:AL178)</f>
        <v>989.26041399999986</v>
      </c>
      <c r="AM179" s="2">
        <f t="shared" si="67"/>
        <v>890.71376599999996</v>
      </c>
      <c r="AN179" s="2">
        <f>SUM(AN168:AN178)</f>
        <v>0</v>
      </c>
      <c r="AO179" s="2">
        <f>SUM(AO168:AO178)</f>
        <v>909.22317199999986</v>
      </c>
      <c r="AP179" s="2">
        <f>SUM(AP168:AP178)</f>
        <v>931.36896599999989</v>
      </c>
      <c r="AQ179" s="2">
        <f>SUM(AQ168:AQ178)</f>
        <v>0</v>
      </c>
      <c r="AR179" s="2">
        <f>SUM(AR168:AR178)</f>
        <v>921.42505799999992</v>
      </c>
      <c r="AS179" s="2">
        <f t="shared" si="67"/>
        <v>943.41968399999996</v>
      </c>
    </row>
    <row r="180" spans="1:45" hidden="1" x14ac:dyDescent="0.25"/>
    <row r="181" spans="1:45" hidden="1" x14ac:dyDescent="0.25">
      <c r="A181" s="51" t="s">
        <v>107</v>
      </c>
    </row>
    <row r="182" spans="1:45" hidden="1" x14ac:dyDescent="0.25">
      <c r="A182" s="2" t="s">
        <v>67</v>
      </c>
      <c r="B182" s="2">
        <v>802.69</v>
      </c>
      <c r="C182" s="2">
        <f t="shared" ref="C182:AS187" si="68">C5/100*$B182</f>
        <v>719.69185400000003</v>
      </c>
      <c r="D182" s="2">
        <f t="shared" si="68"/>
        <v>711.98603000000003</v>
      </c>
      <c r="E182" s="2">
        <f t="shared" si="68"/>
        <v>732.85596999999996</v>
      </c>
      <c r="F182" s="2">
        <f t="shared" si="68"/>
        <v>735.90619200000015</v>
      </c>
      <c r="G182" s="2">
        <f t="shared" si="68"/>
        <v>735.98646099999996</v>
      </c>
      <c r="H182" s="2">
        <f t="shared" si="68"/>
        <v>741.36448400000006</v>
      </c>
      <c r="I182" s="2">
        <f t="shared" si="68"/>
        <v>759.18420200000003</v>
      </c>
      <c r="J182" s="2">
        <f t="shared" si="68"/>
        <v>711.18333999999993</v>
      </c>
      <c r="K182" s="2">
        <f t="shared" si="68"/>
        <v>742.96986400000003</v>
      </c>
      <c r="L182" s="2">
        <f t="shared" si="68"/>
        <v>686.5407570000001</v>
      </c>
      <c r="M182" s="2">
        <f t="shared" si="68"/>
        <v>707.65150400000005</v>
      </c>
      <c r="N182" s="2">
        <f t="shared" si="68"/>
        <v>801.08462000000009</v>
      </c>
      <c r="O182" s="2">
        <f t="shared" si="68"/>
        <v>801.08462000000009</v>
      </c>
      <c r="P182" s="2">
        <f t="shared" si="68"/>
        <v>801.32542699999999</v>
      </c>
      <c r="Q182" s="2">
        <f t="shared" si="68"/>
        <v>737.19049600000005</v>
      </c>
      <c r="R182" s="2">
        <f t="shared" si="68"/>
        <v>745.45820300000014</v>
      </c>
      <c r="S182" s="2">
        <f t="shared" si="68"/>
        <v>780.53575599999999</v>
      </c>
      <c r="T182" s="2">
        <f t="shared" si="68"/>
        <v>779.97387300000003</v>
      </c>
      <c r="U182" s="2">
        <f t="shared" si="68"/>
        <v>749.63219100000003</v>
      </c>
      <c r="V182" s="2">
        <f t="shared" si="68"/>
        <v>737.35103400000003</v>
      </c>
      <c r="W182" s="2">
        <f t="shared" si="68"/>
        <v>752.92322000000001</v>
      </c>
      <c r="X182" s="2">
        <f t="shared" si="68"/>
        <v>776.20123000000012</v>
      </c>
      <c r="Y182" s="2">
        <f t="shared" si="68"/>
        <v>742.16717400000005</v>
      </c>
      <c r="Z182" s="2">
        <f t="shared" si="68"/>
        <v>740.96313900000007</v>
      </c>
      <c r="AA182" s="2">
        <f t="shared" si="68"/>
        <v>724.90933900000005</v>
      </c>
      <c r="AB182" s="2">
        <f t="shared" si="68"/>
        <v>741.12367700000004</v>
      </c>
      <c r="AC182" s="2">
        <f t="shared" si="68"/>
        <v>738.3142620000001</v>
      </c>
      <c r="AD182" s="2">
        <f t="shared" si="68"/>
        <v>728.360906</v>
      </c>
      <c r="AE182" s="2">
        <f t="shared" si="68"/>
        <v>704.03939900000012</v>
      </c>
      <c r="AF182" s="2">
        <f t="shared" si="68"/>
        <v>722.74207600000011</v>
      </c>
      <c r="AG182" s="2">
        <f t="shared" si="68"/>
        <v>722.98288300000002</v>
      </c>
      <c r="AH182" s="2">
        <f t="shared" si="68"/>
        <v>748.90976999999998</v>
      </c>
      <c r="AI182" s="2">
        <f t="shared" si="68"/>
        <v>742.24744299999998</v>
      </c>
      <c r="AJ182" s="2">
        <f t="shared" si="68"/>
        <v>760.789582</v>
      </c>
      <c r="AK182" s="2">
        <f t="shared" si="68"/>
        <v>787.5994280000001</v>
      </c>
      <c r="AL182" s="2">
        <f t="shared" si="68"/>
        <v>696.65465099999994</v>
      </c>
      <c r="AM182" s="2">
        <f t="shared" si="68"/>
        <v>800.60300600000005</v>
      </c>
      <c r="AN182" s="2">
        <f t="shared" si="68"/>
        <v>0</v>
      </c>
      <c r="AO182" s="2">
        <f t="shared" si="68"/>
        <v>781.49898400000006</v>
      </c>
      <c r="AP182" s="2">
        <f t="shared" si="68"/>
        <v>754.52859999999998</v>
      </c>
      <c r="AQ182" s="2">
        <f t="shared" si="68"/>
        <v>0</v>
      </c>
      <c r="AR182" s="2">
        <f t="shared" si="68"/>
        <v>768.57567500000005</v>
      </c>
      <c r="AS182" s="2">
        <f t="shared" si="68"/>
        <v>747.38465900000006</v>
      </c>
    </row>
    <row r="183" spans="1:45" hidden="1" x14ac:dyDescent="0.25">
      <c r="A183" s="2" t="s">
        <v>68</v>
      </c>
      <c r="B183" s="2">
        <v>1428.84</v>
      </c>
      <c r="C183" s="2">
        <f t="shared" si="68"/>
        <v>121.16563199999999</v>
      </c>
      <c r="D183" s="2">
        <f t="shared" si="68"/>
        <v>119.165256</v>
      </c>
      <c r="E183" s="2">
        <f t="shared" si="68"/>
        <v>103.019364</v>
      </c>
      <c r="F183" s="2">
        <f t="shared" si="68"/>
        <v>113.87854799999998</v>
      </c>
      <c r="G183" s="2">
        <f t="shared" si="68"/>
        <v>115.87892399999998</v>
      </c>
      <c r="H183" s="2">
        <f t="shared" si="68"/>
        <v>69.727391999999995</v>
      </c>
      <c r="I183" s="2">
        <f t="shared" si="68"/>
        <v>54.724571999999995</v>
      </c>
      <c r="J183" s="2">
        <f t="shared" si="68"/>
        <v>108.877608</v>
      </c>
      <c r="K183" s="2">
        <f t="shared" si="68"/>
        <v>67.155479999999997</v>
      </c>
      <c r="L183" s="2">
        <f t="shared" si="68"/>
        <v>183.177288</v>
      </c>
      <c r="M183" s="2">
        <f t="shared" si="68"/>
        <v>134.16807600000001</v>
      </c>
      <c r="N183" s="2">
        <f t="shared" si="68"/>
        <v>0.85730399999999984</v>
      </c>
      <c r="O183" s="2">
        <f t="shared" si="68"/>
        <v>0.42865199999999992</v>
      </c>
      <c r="P183" s="2">
        <f t="shared" si="68"/>
        <v>0.71441999999999994</v>
      </c>
      <c r="Q183" s="2">
        <f t="shared" si="68"/>
        <v>64.012032000000005</v>
      </c>
      <c r="R183" s="2">
        <f t="shared" si="68"/>
        <v>55.438991999999999</v>
      </c>
      <c r="S183" s="2">
        <f t="shared" si="68"/>
        <v>35.149464000000002</v>
      </c>
      <c r="T183" s="2">
        <f t="shared" si="68"/>
        <v>29.719871999999995</v>
      </c>
      <c r="U183" s="2">
        <f t="shared" si="68"/>
        <v>93.160367999999991</v>
      </c>
      <c r="V183" s="2">
        <f t="shared" si="68"/>
        <v>80.872343999999998</v>
      </c>
      <c r="W183" s="2">
        <f t="shared" si="68"/>
        <v>44.294039999999995</v>
      </c>
      <c r="X183" s="2">
        <f t="shared" si="68"/>
        <v>32.720435999999999</v>
      </c>
      <c r="Y183" s="2">
        <f t="shared" si="68"/>
        <v>57.868020000000001</v>
      </c>
      <c r="Z183" s="2">
        <f t="shared" si="68"/>
        <v>57.725135999999992</v>
      </c>
      <c r="AA183" s="2">
        <f t="shared" si="68"/>
        <v>76.442939999999993</v>
      </c>
      <c r="AB183" s="2">
        <f t="shared" si="68"/>
        <v>72.585071999999997</v>
      </c>
      <c r="AC183" s="2">
        <f t="shared" si="68"/>
        <v>79.586387999999999</v>
      </c>
      <c r="AD183" s="2">
        <f t="shared" si="68"/>
        <v>80.157923999999994</v>
      </c>
      <c r="AE183" s="2">
        <f t="shared" si="68"/>
        <v>111.735288</v>
      </c>
      <c r="AF183" s="2">
        <f t="shared" si="68"/>
        <v>130.881744</v>
      </c>
      <c r="AG183" s="2">
        <f t="shared" si="68"/>
        <v>89.302499999999995</v>
      </c>
      <c r="AH183" s="2">
        <f t="shared" si="68"/>
        <v>89.302499999999995</v>
      </c>
      <c r="AI183" s="2">
        <f t="shared" si="68"/>
        <v>63.869147999999988</v>
      </c>
      <c r="AJ183" s="2">
        <f t="shared" si="68"/>
        <v>50.866703999999999</v>
      </c>
      <c r="AK183" s="2">
        <f t="shared" si="68"/>
        <v>22.004135999999999</v>
      </c>
      <c r="AL183" s="2">
        <f t="shared" si="68"/>
        <v>154.457604</v>
      </c>
      <c r="AM183" s="2">
        <f t="shared" si="68"/>
        <v>1.1430720000000001</v>
      </c>
      <c r="AN183" s="2">
        <f t="shared" si="68"/>
        <v>0</v>
      </c>
      <c r="AO183" s="2">
        <f t="shared" si="68"/>
        <v>34.720812000000002</v>
      </c>
      <c r="AP183" s="2">
        <f t="shared" si="68"/>
        <v>81.158111999999988</v>
      </c>
      <c r="AQ183" s="2">
        <f t="shared" si="68"/>
        <v>0</v>
      </c>
      <c r="AR183" s="2">
        <f t="shared" si="68"/>
        <v>56.010527999999994</v>
      </c>
      <c r="AS183" s="2">
        <f t="shared" si="68"/>
        <v>85.730399999999989</v>
      </c>
    </row>
    <row r="184" spans="1:45" hidden="1" x14ac:dyDescent="0.25">
      <c r="A184" s="2" t="s">
        <v>69</v>
      </c>
      <c r="B184" s="2">
        <v>2043.37</v>
      </c>
      <c r="C184" s="2">
        <f t="shared" si="68"/>
        <v>25.950798999999996</v>
      </c>
      <c r="D184" s="2">
        <f t="shared" si="68"/>
        <v>34.532952999999992</v>
      </c>
      <c r="E184" s="2">
        <f t="shared" si="68"/>
        <v>16.346959999999999</v>
      </c>
      <c r="F184" s="2">
        <f t="shared" si="68"/>
        <v>0.20433699999999999</v>
      </c>
      <c r="G184" s="2">
        <f t="shared" si="68"/>
        <v>2.8607180000000003</v>
      </c>
      <c r="H184" s="2">
        <f t="shared" si="68"/>
        <v>37.393670999999998</v>
      </c>
      <c r="I184" s="2">
        <f t="shared" si="68"/>
        <v>18.799004</v>
      </c>
      <c r="J184" s="2">
        <f t="shared" si="68"/>
        <v>57.214359999999992</v>
      </c>
      <c r="K184" s="2">
        <f t="shared" si="68"/>
        <v>34.124278999999994</v>
      </c>
      <c r="L184" s="2">
        <f t="shared" si="68"/>
        <v>29.833202</v>
      </c>
      <c r="M184" s="2">
        <f t="shared" si="68"/>
        <v>40.867399999999996</v>
      </c>
      <c r="N184" s="2">
        <f t="shared" si="68"/>
        <v>0.20433699999999999</v>
      </c>
      <c r="O184" s="2">
        <f t="shared" si="68"/>
        <v>0</v>
      </c>
      <c r="P184" s="2">
        <f t="shared" si="68"/>
        <v>0</v>
      </c>
      <c r="Q184" s="2">
        <f t="shared" si="68"/>
        <v>49.040880000000001</v>
      </c>
      <c r="R184" s="2">
        <f t="shared" si="68"/>
        <v>47.406183999999996</v>
      </c>
      <c r="S184" s="2">
        <f t="shared" si="68"/>
        <v>3.2693919999999999</v>
      </c>
      <c r="T184" s="2">
        <f t="shared" si="68"/>
        <v>8.7864909999999998</v>
      </c>
      <c r="U184" s="2">
        <f t="shared" si="68"/>
        <v>1.6346959999999999</v>
      </c>
      <c r="V184" s="2">
        <f t="shared" si="68"/>
        <v>32.693919999999999</v>
      </c>
      <c r="W184" s="2">
        <f t="shared" si="68"/>
        <v>40.254388999999996</v>
      </c>
      <c r="X184" s="2">
        <f t="shared" si="68"/>
        <v>9.8081759999999978</v>
      </c>
      <c r="Y184" s="2">
        <f t="shared" si="68"/>
        <v>40.254388999999996</v>
      </c>
      <c r="Z184" s="2">
        <f t="shared" si="68"/>
        <v>47.610520999999999</v>
      </c>
      <c r="AA184" s="2">
        <f t="shared" si="68"/>
        <v>65.592176999999992</v>
      </c>
      <c r="AB184" s="2">
        <f t="shared" si="68"/>
        <v>38.82403</v>
      </c>
      <c r="AC184" s="2">
        <f t="shared" si="68"/>
        <v>25.746461999999998</v>
      </c>
      <c r="AD184" s="2">
        <f t="shared" si="68"/>
        <v>43.115106999999995</v>
      </c>
      <c r="AE184" s="2">
        <f t="shared" si="68"/>
        <v>58.644718999999995</v>
      </c>
      <c r="AF184" s="2">
        <f t="shared" si="68"/>
        <v>2.0433699999999999</v>
      </c>
      <c r="AG184" s="2">
        <f t="shared" si="68"/>
        <v>44.136792</v>
      </c>
      <c r="AH184" s="2">
        <f t="shared" si="68"/>
        <v>1.021685</v>
      </c>
      <c r="AI184" s="2">
        <f t="shared" si="68"/>
        <v>41.480410999999997</v>
      </c>
      <c r="AJ184" s="2">
        <f t="shared" si="68"/>
        <v>17.777318999999999</v>
      </c>
      <c r="AK184" s="2">
        <f t="shared" si="68"/>
        <v>5.7214360000000006</v>
      </c>
      <c r="AL184" s="2">
        <f t="shared" si="68"/>
        <v>34.941626999999997</v>
      </c>
      <c r="AM184" s="2">
        <f t="shared" si="68"/>
        <v>0.20433699999999999</v>
      </c>
      <c r="AN184" s="2">
        <f t="shared" si="68"/>
        <v>0</v>
      </c>
      <c r="AO184" s="2">
        <f t="shared" si="68"/>
        <v>2.4520439999999994</v>
      </c>
      <c r="AP184" s="2">
        <f t="shared" si="68"/>
        <v>3.6780659999999998</v>
      </c>
      <c r="AQ184" s="2">
        <f t="shared" si="68"/>
        <v>0</v>
      </c>
      <c r="AR184" s="2">
        <f t="shared" si="68"/>
        <v>4.0867399999999998</v>
      </c>
      <c r="AS184" s="2">
        <f t="shared" si="68"/>
        <v>16.142623</v>
      </c>
    </row>
    <row r="185" spans="1:45" hidden="1" x14ac:dyDescent="0.25">
      <c r="A185" s="2" t="s">
        <v>70</v>
      </c>
      <c r="B185" s="2">
        <v>2648.42</v>
      </c>
      <c r="C185" s="2">
        <f t="shared" si="68"/>
        <v>1.3242100000000001</v>
      </c>
      <c r="D185" s="2">
        <f t="shared" si="68"/>
        <v>5.2968400000000004</v>
      </c>
      <c r="E185" s="2">
        <f t="shared" si="68"/>
        <v>0.52968400000000004</v>
      </c>
      <c r="F185" s="2">
        <f t="shared" si="68"/>
        <v>0</v>
      </c>
      <c r="G185" s="2">
        <f t="shared" si="68"/>
        <v>0</v>
      </c>
      <c r="H185" s="2">
        <f t="shared" si="68"/>
        <v>9.5343119999999999</v>
      </c>
      <c r="I185" s="2">
        <f t="shared" si="68"/>
        <v>5.0319979999999997</v>
      </c>
      <c r="J185" s="2">
        <f t="shared" si="68"/>
        <v>9.5343119999999999</v>
      </c>
      <c r="K185" s="2">
        <f t="shared" si="68"/>
        <v>8.4749440000000007</v>
      </c>
      <c r="L185" s="2">
        <f t="shared" si="68"/>
        <v>1.0593680000000001</v>
      </c>
      <c r="M185" s="2">
        <f t="shared" si="68"/>
        <v>4.2374720000000003</v>
      </c>
      <c r="N185" s="2">
        <f t="shared" si="68"/>
        <v>0</v>
      </c>
      <c r="O185" s="2">
        <f t="shared" si="68"/>
        <v>0</v>
      </c>
      <c r="P185" s="2">
        <f t="shared" si="68"/>
        <v>0</v>
      </c>
      <c r="Q185" s="2">
        <f t="shared" si="68"/>
        <v>13.242100000000001</v>
      </c>
      <c r="R185" s="2">
        <f t="shared" si="68"/>
        <v>6.8858920000000001</v>
      </c>
      <c r="S185" s="2">
        <f t="shared" si="68"/>
        <v>1.5890519999999999</v>
      </c>
      <c r="T185" s="2">
        <f t="shared" si="68"/>
        <v>5.0319979999999997</v>
      </c>
      <c r="U185" s="2">
        <f t="shared" si="68"/>
        <v>0</v>
      </c>
      <c r="V185" s="2">
        <f t="shared" si="68"/>
        <v>11.123364</v>
      </c>
      <c r="W185" s="2">
        <f t="shared" si="68"/>
        <v>12.977257999999999</v>
      </c>
      <c r="X185" s="2">
        <f t="shared" si="68"/>
        <v>2.383578</v>
      </c>
      <c r="Y185" s="2">
        <f t="shared" si="68"/>
        <v>13.771784</v>
      </c>
      <c r="Z185" s="2">
        <f t="shared" si="68"/>
        <v>14.301468000000002</v>
      </c>
      <c r="AA185" s="2">
        <f t="shared" si="68"/>
        <v>15.625678000000001</v>
      </c>
      <c r="AB185" s="2">
        <f t="shared" si="68"/>
        <v>8.7397860000000005</v>
      </c>
      <c r="AC185" s="2">
        <f t="shared" si="68"/>
        <v>3.1781039999999998</v>
      </c>
      <c r="AD185" s="2">
        <f t="shared" si="68"/>
        <v>17.214730000000003</v>
      </c>
      <c r="AE185" s="2">
        <f t="shared" si="68"/>
        <v>14.036626</v>
      </c>
      <c r="AF185" s="2">
        <f t="shared" si="68"/>
        <v>0</v>
      </c>
      <c r="AG185" s="2">
        <f t="shared" si="68"/>
        <v>10.328838000000001</v>
      </c>
      <c r="AH185" s="2">
        <f t="shared" si="68"/>
        <v>0</v>
      </c>
      <c r="AI185" s="2">
        <f t="shared" si="68"/>
        <v>11.653048000000002</v>
      </c>
      <c r="AJ185" s="2">
        <f t="shared" si="68"/>
        <v>7.4155760000000015</v>
      </c>
      <c r="AK185" s="2">
        <f t="shared" si="68"/>
        <v>0.79452599999999995</v>
      </c>
      <c r="AL185" s="2">
        <f t="shared" si="68"/>
        <v>3.4429460000000001</v>
      </c>
      <c r="AM185" s="2">
        <f t="shared" si="68"/>
        <v>0</v>
      </c>
      <c r="AN185" s="2">
        <f t="shared" si="68"/>
        <v>0</v>
      </c>
      <c r="AO185" s="2">
        <f t="shared" si="68"/>
        <v>0.26484200000000002</v>
      </c>
      <c r="AP185" s="2">
        <f t="shared" si="68"/>
        <v>0.26484200000000002</v>
      </c>
      <c r="AQ185" s="2">
        <f t="shared" si="68"/>
        <v>0</v>
      </c>
      <c r="AR185" s="2">
        <f t="shared" si="68"/>
        <v>0.79452599999999995</v>
      </c>
      <c r="AS185" s="2">
        <f t="shared" si="68"/>
        <v>0.79452599999999995</v>
      </c>
    </row>
    <row r="186" spans="1:45" hidden="1" x14ac:dyDescent="0.25">
      <c r="A186" s="2" t="s">
        <v>71</v>
      </c>
      <c r="B186" s="2">
        <v>2657.6</v>
      </c>
      <c r="C186" s="2">
        <f t="shared" si="68"/>
        <v>1.06304</v>
      </c>
      <c r="D186" s="2">
        <f t="shared" si="68"/>
        <v>7.7070399999999992</v>
      </c>
      <c r="E186" s="2">
        <f t="shared" si="68"/>
        <v>0.26576</v>
      </c>
      <c r="F186" s="2">
        <f t="shared" si="68"/>
        <v>0</v>
      </c>
      <c r="G186" s="2">
        <f t="shared" si="68"/>
        <v>0</v>
      </c>
      <c r="H186" s="2">
        <f t="shared" si="68"/>
        <v>11.693440000000001</v>
      </c>
      <c r="I186" s="2">
        <f t="shared" si="68"/>
        <v>5.8467200000000004</v>
      </c>
      <c r="J186" s="2">
        <f t="shared" si="68"/>
        <v>13.819519999999999</v>
      </c>
      <c r="K186" s="2">
        <f t="shared" si="68"/>
        <v>11.161919999999999</v>
      </c>
      <c r="L186" s="2">
        <f t="shared" si="68"/>
        <v>0.79727999999999988</v>
      </c>
      <c r="M186" s="2">
        <f t="shared" si="68"/>
        <v>3.7206400000000004</v>
      </c>
      <c r="N186" s="2">
        <f t="shared" si="68"/>
        <v>0</v>
      </c>
      <c r="O186" s="2">
        <f t="shared" si="68"/>
        <v>0</v>
      </c>
      <c r="P186" s="2">
        <f t="shared" si="68"/>
        <v>0</v>
      </c>
      <c r="Q186" s="2">
        <f t="shared" si="68"/>
        <v>17.80592</v>
      </c>
      <c r="R186" s="2">
        <f t="shared" si="68"/>
        <v>8.5043199999999999</v>
      </c>
      <c r="S186" s="2">
        <f t="shared" si="68"/>
        <v>0.79727999999999988</v>
      </c>
      <c r="T186" s="2">
        <f t="shared" si="68"/>
        <v>2.3918399999999997</v>
      </c>
      <c r="U186" s="2">
        <f t="shared" si="68"/>
        <v>0</v>
      </c>
      <c r="V186" s="2">
        <f t="shared" si="68"/>
        <v>10.098879999999999</v>
      </c>
      <c r="W186" s="2">
        <f t="shared" si="68"/>
        <v>15.945600000000001</v>
      </c>
      <c r="X186" s="2">
        <f t="shared" si="68"/>
        <v>2.9233600000000002</v>
      </c>
      <c r="Y186" s="2">
        <f t="shared" si="68"/>
        <v>17.00864</v>
      </c>
      <c r="Z186" s="2">
        <f t="shared" si="68"/>
        <v>14.085279999999999</v>
      </c>
      <c r="AA186" s="2">
        <f t="shared" si="68"/>
        <v>10.6304</v>
      </c>
      <c r="AB186" s="2">
        <f t="shared" si="68"/>
        <v>8.5043199999999999</v>
      </c>
      <c r="AC186" s="2">
        <f t="shared" si="68"/>
        <v>7.4412800000000008</v>
      </c>
      <c r="AD186" s="2">
        <f t="shared" si="68"/>
        <v>16.211359999999999</v>
      </c>
      <c r="AE186" s="2">
        <f t="shared" si="68"/>
        <v>16.477119999999999</v>
      </c>
      <c r="AF186" s="2">
        <f t="shared" si="68"/>
        <v>0</v>
      </c>
      <c r="AG186" s="2">
        <f t="shared" si="68"/>
        <v>15.679839999999999</v>
      </c>
      <c r="AH186" s="2">
        <f t="shared" si="68"/>
        <v>0</v>
      </c>
      <c r="AI186" s="2">
        <f t="shared" si="68"/>
        <v>13.288</v>
      </c>
      <c r="AJ186" s="2">
        <f t="shared" si="68"/>
        <v>6.378239999999999</v>
      </c>
      <c r="AK186" s="2">
        <f t="shared" si="68"/>
        <v>0.53151999999999999</v>
      </c>
      <c r="AL186" s="2">
        <f t="shared" si="68"/>
        <v>4.5179200000000002</v>
      </c>
      <c r="AM186" s="2">
        <f t="shared" si="68"/>
        <v>0</v>
      </c>
      <c r="AN186" s="2">
        <f t="shared" si="68"/>
        <v>0</v>
      </c>
      <c r="AO186" s="2">
        <f t="shared" si="68"/>
        <v>0.26576</v>
      </c>
      <c r="AP186" s="2">
        <f t="shared" si="68"/>
        <v>0.26576</v>
      </c>
      <c r="AQ186" s="2">
        <f t="shared" si="68"/>
        <v>0</v>
      </c>
      <c r="AR186" s="2">
        <f t="shared" si="68"/>
        <v>0.79727999999999988</v>
      </c>
      <c r="AS186" s="2">
        <f t="shared" si="68"/>
        <v>1.06304</v>
      </c>
    </row>
    <row r="187" spans="1:45" hidden="1" x14ac:dyDescent="0.25">
      <c r="A187" s="2" t="s">
        <v>72</v>
      </c>
      <c r="B187" s="2">
        <v>3265.08</v>
      </c>
      <c r="C187" s="2">
        <f t="shared" si="68"/>
        <v>2.6120640000000002</v>
      </c>
      <c r="D187" s="2">
        <f t="shared" si="68"/>
        <v>0</v>
      </c>
      <c r="E187" s="2">
        <f t="shared" si="68"/>
        <v>0</v>
      </c>
      <c r="F187" s="2">
        <f t="shared" si="68"/>
        <v>0</v>
      </c>
      <c r="G187" s="2">
        <f t="shared" si="68"/>
        <v>0</v>
      </c>
      <c r="H187" s="2">
        <f t="shared" si="68"/>
        <v>0</v>
      </c>
      <c r="I187" s="2">
        <f t="shared" si="68"/>
        <v>1.3060320000000001</v>
      </c>
      <c r="J187" s="2">
        <f t="shared" si="68"/>
        <v>1.3060320000000001</v>
      </c>
      <c r="K187" s="2">
        <f t="shared" si="68"/>
        <v>2.2855560000000001</v>
      </c>
      <c r="L187" s="2">
        <f t="shared" si="68"/>
        <v>0</v>
      </c>
      <c r="M187" s="2">
        <f t="shared" si="68"/>
        <v>0.65301600000000004</v>
      </c>
      <c r="N187" s="2">
        <f t="shared" si="68"/>
        <v>0</v>
      </c>
      <c r="O187" s="2">
        <f t="shared" si="68"/>
        <v>0</v>
      </c>
      <c r="P187" s="2">
        <f t="shared" si="68"/>
        <v>0</v>
      </c>
      <c r="Q187" s="2">
        <f t="shared" si="68"/>
        <v>1.3060320000000001</v>
      </c>
      <c r="R187" s="2">
        <f t="shared" si="68"/>
        <v>1.3060320000000001</v>
      </c>
      <c r="S187" s="2">
        <f t="shared" si="68"/>
        <v>0.65301600000000004</v>
      </c>
      <c r="T187" s="2">
        <f t="shared" si="68"/>
        <v>0.97952399999999984</v>
      </c>
      <c r="U187" s="2">
        <f t="shared" si="68"/>
        <v>0</v>
      </c>
      <c r="V187" s="2">
        <f t="shared" si="68"/>
        <v>0</v>
      </c>
      <c r="W187" s="2">
        <f t="shared" si="68"/>
        <v>0.65301600000000004</v>
      </c>
      <c r="X187" s="2">
        <f t="shared" si="68"/>
        <v>0.65301600000000004</v>
      </c>
      <c r="Y187" s="2">
        <f t="shared" si="68"/>
        <v>1.9590479999999997</v>
      </c>
      <c r="Z187" s="2">
        <f t="shared" si="68"/>
        <v>0.65301600000000004</v>
      </c>
      <c r="AA187" s="2">
        <f t="shared" si="68"/>
        <v>0.65301600000000004</v>
      </c>
      <c r="AB187" s="2">
        <f t="shared" si="68"/>
        <v>0</v>
      </c>
      <c r="AC187" s="2">
        <f t="shared" si="68"/>
        <v>0.65301600000000004</v>
      </c>
      <c r="AD187" s="2">
        <f t="shared" si="68"/>
        <v>0.65301600000000004</v>
      </c>
      <c r="AE187" s="2">
        <f t="shared" si="68"/>
        <v>1.9590479999999997</v>
      </c>
      <c r="AF187" s="2">
        <f t="shared" si="68"/>
        <v>0</v>
      </c>
      <c r="AG187" s="2">
        <f t="shared" si="68"/>
        <v>0</v>
      </c>
      <c r="AH187" s="2">
        <f t="shared" si="68"/>
        <v>0</v>
      </c>
      <c r="AI187" s="2">
        <f t="shared" si="68"/>
        <v>0.65301600000000004</v>
      </c>
      <c r="AJ187" s="2">
        <f t="shared" si="68"/>
        <v>0</v>
      </c>
      <c r="AK187" s="2">
        <f t="shared" si="68"/>
        <v>0</v>
      </c>
      <c r="AL187" s="2">
        <f t="shared" si="68"/>
        <v>0</v>
      </c>
      <c r="AM187" s="2">
        <f t="shared" si="68"/>
        <v>0</v>
      </c>
      <c r="AN187" s="2">
        <f t="shared" si="68"/>
        <v>0</v>
      </c>
      <c r="AO187" s="2">
        <f t="shared" si="68"/>
        <v>0</v>
      </c>
      <c r="AP187" s="2">
        <f t="shared" si="68"/>
        <v>0</v>
      </c>
      <c r="AQ187" s="2">
        <f t="shared" ref="AQ187:AS187" si="69">AQ10/100*$B187</f>
        <v>0</v>
      </c>
      <c r="AR187" s="2">
        <f t="shared" si="69"/>
        <v>0.32650800000000002</v>
      </c>
      <c r="AS187" s="2">
        <f t="shared" si="69"/>
        <v>0</v>
      </c>
    </row>
    <row r="188" spans="1:45" hidden="1" x14ac:dyDescent="0.25">
      <c r="A188" s="2" t="s">
        <v>73</v>
      </c>
      <c r="B188" s="2">
        <v>3272</v>
      </c>
      <c r="C188" s="2">
        <f t="shared" ref="C188:AS192" si="70">C11/100*$B188</f>
        <v>0.98159999999999992</v>
      </c>
      <c r="D188" s="2">
        <f t="shared" si="70"/>
        <v>0</v>
      </c>
      <c r="E188" s="2">
        <f t="shared" si="70"/>
        <v>0</v>
      </c>
      <c r="F188" s="2">
        <f t="shared" si="70"/>
        <v>0</v>
      </c>
      <c r="G188" s="2">
        <f t="shared" si="70"/>
        <v>0</v>
      </c>
      <c r="H188" s="2">
        <f t="shared" si="70"/>
        <v>0</v>
      </c>
      <c r="I188" s="2">
        <f t="shared" si="70"/>
        <v>0.32719999999999999</v>
      </c>
      <c r="J188" s="2">
        <f t="shared" si="70"/>
        <v>0.32719999999999999</v>
      </c>
      <c r="K188" s="2">
        <f t="shared" si="70"/>
        <v>0.65439999999999998</v>
      </c>
      <c r="L188" s="2">
        <f t="shared" si="70"/>
        <v>0</v>
      </c>
      <c r="M188" s="2">
        <f t="shared" si="70"/>
        <v>0.32719999999999999</v>
      </c>
      <c r="N188" s="2">
        <f t="shared" si="70"/>
        <v>0</v>
      </c>
      <c r="O188" s="2">
        <f t="shared" si="70"/>
        <v>0</v>
      </c>
      <c r="P188" s="2">
        <f t="shared" si="70"/>
        <v>0</v>
      </c>
      <c r="Q188" s="2">
        <f t="shared" si="70"/>
        <v>0.65439999999999998</v>
      </c>
      <c r="R188" s="2">
        <f t="shared" si="70"/>
        <v>0.65439999999999998</v>
      </c>
      <c r="S188" s="2">
        <f t="shared" si="70"/>
        <v>0</v>
      </c>
      <c r="T188" s="2">
        <f t="shared" si="70"/>
        <v>0</v>
      </c>
      <c r="U188" s="2">
        <f t="shared" si="70"/>
        <v>0</v>
      </c>
      <c r="V188" s="2">
        <f t="shared" si="70"/>
        <v>0</v>
      </c>
      <c r="W188" s="2">
        <f t="shared" si="70"/>
        <v>0</v>
      </c>
      <c r="X188" s="2">
        <f t="shared" si="70"/>
        <v>0</v>
      </c>
      <c r="Y188" s="2">
        <f t="shared" si="70"/>
        <v>0.32719999999999999</v>
      </c>
      <c r="Z188" s="2">
        <f t="shared" si="70"/>
        <v>0</v>
      </c>
      <c r="AA188" s="2">
        <f t="shared" si="70"/>
        <v>0.32719999999999999</v>
      </c>
      <c r="AB188" s="2">
        <f t="shared" si="70"/>
        <v>0.32719999999999999</v>
      </c>
      <c r="AC188" s="2">
        <f t="shared" si="70"/>
        <v>0</v>
      </c>
      <c r="AD188" s="2">
        <f t="shared" si="70"/>
        <v>0</v>
      </c>
      <c r="AE188" s="2">
        <f t="shared" si="70"/>
        <v>0.65439999999999998</v>
      </c>
      <c r="AF188" s="2">
        <f t="shared" si="70"/>
        <v>0</v>
      </c>
      <c r="AG188" s="2">
        <f t="shared" si="70"/>
        <v>0</v>
      </c>
      <c r="AH188" s="2">
        <f t="shared" si="70"/>
        <v>0</v>
      </c>
      <c r="AI188" s="2">
        <f t="shared" si="70"/>
        <v>0</v>
      </c>
      <c r="AJ188" s="2">
        <f t="shared" si="70"/>
        <v>0</v>
      </c>
      <c r="AK188" s="2">
        <f t="shared" si="70"/>
        <v>0</v>
      </c>
      <c r="AL188" s="2">
        <f t="shared" si="70"/>
        <v>0</v>
      </c>
      <c r="AM188" s="2">
        <f t="shared" si="70"/>
        <v>0</v>
      </c>
      <c r="AN188" s="2">
        <f t="shared" si="70"/>
        <v>0</v>
      </c>
      <c r="AO188" s="2">
        <f t="shared" si="70"/>
        <v>0</v>
      </c>
      <c r="AP188" s="2">
        <f t="shared" si="70"/>
        <v>0</v>
      </c>
      <c r="AQ188" s="2">
        <f t="shared" si="70"/>
        <v>0</v>
      </c>
      <c r="AR188" s="2">
        <f t="shared" si="70"/>
        <v>0</v>
      </c>
      <c r="AS188" s="2">
        <f t="shared" si="70"/>
        <v>0</v>
      </c>
    </row>
    <row r="189" spans="1:45" hidden="1" x14ac:dyDescent="0.25">
      <c r="A189" s="2" t="s">
        <v>74</v>
      </c>
      <c r="B189" s="2">
        <v>3887.21</v>
      </c>
      <c r="C189" s="2">
        <f t="shared" si="70"/>
        <v>0</v>
      </c>
      <c r="D189" s="2">
        <f t="shared" si="70"/>
        <v>0</v>
      </c>
      <c r="E189" s="2">
        <f t="shared" si="70"/>
        <v>0</v>
      </c>
      <c r="F189" s="2">
        <f t="shared" si="70"/>
        <v>0</v>
      </c>
      <c r="G189" s="2">
        <f t="shared" si="70"/>
        <v>0</v>
      </c>
      <c r="H189" s="2">
        <f t="shared" si="70"/>
        <v>0</v>
      </c>
      <c r="I189" s="2">
        <f t="shared" si="70"/>
        <v>0</v>
      </c>
      <c r="J189" s="2">
        <f t="shared" si="70"/>
        <v>0</v>
      </c>
      <c r="K189" s="2">
        <f t="shared" si="70"/>
        <v>0</v>
      </c>
      <c r="L189" s="2">
        <f t="shared" si="70"/>
        <v>0</v>
      </c>
      <c r="M189" s="2">
        <f t="shared" si="70"/>
        <v>0</v>
      </c>
      <c r="N189" s="2">
        <f t="shared" si="70"/>
        <v>0</v>
      </c>
      <c r="O189" s="2">
        <f t="shared" si="70"/>
        <v>0</v>
      </c>
      <c r="P189" s="2">
        <f t="shared" si="70"/>
        <v>0</v>
      </c>
      <c r="Q189" s="2">
        <f t="shared" si="70"/>
        <v>0</v>
      </c>
      <c r="R189" s="2">
        <f t="shared" si="70"/>
        <v>0.38872100000000004</v>
      </c>
      <c r="S189" s="2">
        <f t="shared" si="70"/>
        <v>0</v>
      </c>
      <c r="T189" s="2">
        <f t="shared" si="70"/>
        <v>0</v>
      </c>
      <c r="U189" s="2">
        <f t="shared" si="70"/>
        <v>0</v>
      </c>
      <c r="V189" s="2">
        <f t="shared" si="70"/>
        <v>0</v>
      </c>
      <c r="W189" s="2">
        <f t="shared" si="70"/>
        <v>0</v>
      </c>
      <c r="X189" s="2">
        <f t="shared" si="70"/>
        <v>0</v>
      </c>
      <c r="Y189" s="2">
        <f t="shared" si="70"/>
        <v>0</v>
      </c>
      <c r="Z189" s="2">
        <f t="shared" si="70"/>
        <v>0</v>
      </c>
      <c r="AA189" s="2">
        <f t="shared" si="70"/>
        <v>0</v>
      </c>
      <c r="AB189" s="2">
        <f t="shared" si="70"/>
        <v>0</v>
      </c>
      <c r="AC189" s="2">
        <f t="shared" si="70"/>
        <v>0</v>
      </c>
      <c r="AD189" s="2">
        <f t="shared" si="70"/>
        <v>0</v>
      </c>
      <c r="AE189" s="2">
        <f t="shared" si="70"/>
        <v>0</v>
      </c>
      <c r="AF189" s="2">
        <f t="shared" si="70"/>
        <v>0</v>
      </c>
      <c r="AG189" s="2">
        <f t="shared" si="70"/>
        <v>0</v>
      </c>
      <c r="AH189" s="2">
        <f t="shared" si="70"/>
        <v>0</v>
      </c>
      <c r="AI189" s="2">
        <f t="shared" si="70"/>
        <v>0</v>
      </c>
      <c r="AJ189" s="2">
        <f t="shared" si="70"/>
        <v>0</v>
      </c>
      <c r="AK189" s="2">
        <f t="shared" si="70"/>
        <v>0</v>
      </c>
      <c r="AL189" s="2">
        <f t="shared" si="70"/>
        <v>0</v>
      </c>
      <c r="AM189" s="2">
        <f t="shared" si="70"/>
        <v>0</v>
      </c>
      <c r="AN189" s="2">
        <f t="shared" si="70"/>
        <v>0</v>
      </c>
      <c r="AO189" s="2">
        <f t="shared" si="70"/>
        <v>0</v>
      </c>
      <c r="AP189" s="2">
        <f t="shared" si="70"/>
        <v>0</v>
      </c>
      <c r="AQ189" s="2">
        <f t="shared" si="70"/>
        <v>0</v>
      </c>
      <c r="AR189" s="2">
        <f t="shared" si="70"/>
        <v>0</v>
      </c>
      <c r="AS189" s="2">
        <f t="shared" si="70"/>
        <v>0</v>
      </c>
    </row>
    <row r="190" spans="1:45" hidden="1" x14ac:dyDescent="0.25">
      <c r="A190" s="2" t="s">
        <v>75</v>
      </c>
      <c r="B190" s="2">
        <v>0</v>
      </c>
      <c r="C190" s="2">
        <f t="shared" si="70"/>
        <v>0</v>
      </c>
      <c r="D190" s="2">
        <f t="shared" si="70"/>
        <v>0</v>
      </c>
      <c r="E190" s="2">
        <f t="shared" si="70"/>
        <v>0</v>
      </c>
      <c r="F190" s="2">
        <f t="shared" si="70"/>
        <v>0</v>
      </c>
      <c r="G190" s="2">
        <f t="shared" si="70"/>
        <v>0</v>
      </c>
      <c r="H190" s="2">
        <f t="shared" si="70"/>
        <v>0</v>
      </c>
      <c r="I190" s="2">
        <f t="shared" si="70"/>
        <v>0</v>
      </c>
      <c r="J190" s="2">
        <f t="shared" si="70"/>
        <v>0</v>
      </c>
      <c r="K190" s="2">
        <f t="shared" si="70"/>
        <v>0</v>
      </c>
      <c r="L190" s="2">
        <f t="shared" si="70"/>
        <v>0</v>
      </c>
      <c r="M190" s="2">
        <f t="shared" si="70"/>
        <v>0</v>
      </c>
      <c r="N190" s="2">
        <f t="shared" si="70"/>
        <v>0</v>
      </c>
      <c r="O190" s="2">
        <f t="shared" si="70"/>
        <v>0</v>
      </c>
      <c r="P190" s="2">
        <f t="shared" si="70"/>
        <v>0</v>
      </c>
      <c r="Q190" s="2">
        <f t="shared" si="70"/>
        <v>0</v>
      </c>
      <c r="R190" s="2">
        <f t="shared" si="70"/>
        <v>0</v>
      </c>
      <c r="S190" s="2">
        <f t="shared" si="70"/>
        <v>0</v>
      </c>
      <c r="T190" s="2">
        <f t="shared" si="70"/>
        <v>0</v>
      </c>
      <c r="U190" s="2">
        <f t="shared" si="70"/>
        <v>0</v>
      </c>
      <c r="V190" s="2">
        <f t="shared" si="70"/>
        <v>0</v>
      </c>
      <c r="W190" s="2">
        <f t="shared" si="70"/>
        <v>0</v>
      </c>
      <c r="X190" s="2">
        <f t="shared" si="70"/>
        <v>0</v>
      </c>
      <c r="Y190" s="2">
        <f t="shared" si="70"/>
        <v>0</v>
      </c>
      <c r="Z190" s="2">
        <f t="shared" si="70"/>
        <v>0</v>
      </c>
      <c r="AA190" s="2">
        <f t="shared" si="70"/>
        <v>0</v>
      </c>
      <c r="AB190" s="2">
        <f t="shared" si="70"/>
        <v>0</v>
      </c>
      <c r="AC190" s="2">
        <f t="shared" si="70"/>
        <v>0</v>
      </c>
      <c r="AD190" s="2">
        <f t="shared" si="70"/>
        <v>0</v>
      </c>
      <c r="AE190" s="2">
        <f t="shared" si="70"/>
        <v>0</v>
      </c>
      <c r="AF190" s="2">
        <f t="shared" si="70"/>
        <v>0</v>
      </c>
      <c r="AG190" s="2">
        <f t="shared" si="70"/>
        <v>0</v>
      </c>
      <c r="AH190" s="2">
        <f t="shared" si="70"/>
        <v>0</v>
      </c>
      <c r="AI190" s="2">
        <f t="shared" si="70"/>
        <v>0</v>
      </c>
      <c r="AJ190" s="2">
        <f t="shared" si="70"/>
        <v>0</v>
      </c>
      <c r="AK190" s="2">
        <f t="shared" si="70"/>
        <v>0</v>
      </c>
      <c r="AL190" s="2">
        <f t="shared" si="70"/>
        <v>0</v>
      </c>
      <c r="AM190" s="2">
        <f t="shared" si="70"/>
        <v>0</v>
      </c>
      <c r="AN190" s="2">
        <f t="shared" si="70"/>
        <v>0</v>
      </c>
      <c r="AO190" s="2">
        <f t="shared" si="70"/>
        <v>0</v>
      </c>
      <c r="AP190" s="2">
        <f t="shared" si="70"/>
        <v>0</v>
      </c>
      <c r="AQ190" s="2">
        <f t="shared" si="70"/>
        <v>0</v>
      </c>
      <c r="AR190" s="2">
        <f t="shared" si="70"/>
        <v>0</v>
      </c>
      <c r="AS190" s="2">
        <f t="shared" si="70"/>
        <v>0</v>
      </c>
    </row>
    <row r="191" spans="1:45" hidden="1" x14ac:dyDescent="0.25">
      <c r="A191" s="2" t="s">
        <v>76</v>
      </c>
      <c r="B191" s="2">
        <v>0</v>
      </c>
      <c r="C191" s="2">
        <f t="shared" si="70"/>
        <v>0</v>
      </c>
      <c r="D191" s="2">
        <f t="shared" si="70"/>
        <v>0</v>
      </c>
      <c r="E191" s="2">
        <f t="shared" si="70"/>
        <v>0</v>
      </c>
      <c r="F191" s="2">
        <f t="shared" si="70"/>
        <v>0</v>
      </c>
      <c r="G191" s="2">
        <f t="shared" si="70"/>
        <v>0</v>
      </c>
      <c r="H191" s="2">
        <f t="shared" si="70"/>
        <v>0</v>
      </c>
      <c r="I191" s="2">
        <f t="shared" si="70"/>
        <v>0</v>
      </c>
      <c r="J191" s="2">
        <f t="shared" si="70"/>
        <v>0</v>
      </c>
      <c r="K191" s="2">
        <f t="shared" si="70"/>
        <v>0</v>
      </c>
      <c r="L191" s="2">
        <f t="shared" si="70"/>
        <v>0</v>
      </c>
      <c r="M191" s="2">
        <f t="shared" si="70"/>
        <v>0</v>
      </c>
      <c r="N191" s="2">
        <f t="shared" si="70"/>
        <v>0</v>
      </c>
      <c r="O191" s="2">
        <f t="shared" si="70"/>
        <v>0</v>
      </c>
      <c r="P191" s="2">
        <f t="shared" si="70"/>
        <v>0</v>
      </c>
      <c r="Q191" s="2">
        <f t="shared" si="70"/>
        <v>0</v>
      </c>
      <c r="R191" s="2">
        <f t="shared" si="70"/>
        <v>0</v>
      </c>
      <c r="S191" s="2">
        <f t="shared" si="70"/>
        <v>0</v>
      </c>
      <c r="T191" s="2">
        <f t="shared" si="70"/>
        <v>0</v>
      </c>
      <c r="U191" s="2">
        <f t="shared" si="70"/>
        <v>0</v>
      </c>
      <c r="V191" s="2">
        <f t="shared" si="70"/>
        <v>0</v>
      </c>
      <c r="W191" s="2">
        <f t="shared" si="70"/>
        <v>0</v>
      </c>
      <c r="X191" s="2">
        <f t="shared" si="70"/>
        <v>0</v>
      </c>
      <c r="Y191" s="2">
        <f t="shared" si="70"/>
        <v>0</v>
      </c>
      <c r="Z191" s="2">
        <f t="shared" si="70"/>
        <v>0</v>
      </c>
      <c r="AA191" s="2">
        <f t="shared" si="70"/>
        <v>0</v>
      </c>
      <c r="AB191" s="2">
        <f t="shared" si="70"/>
        <v>0</v>
      </c>
      <c r="AC191" s="2">
        <f t="shared" si="70"/>
        <v>0</v>
      </c>
      <c r="AD191" s="2">
        <f t="shared" si="70"/>
        <v>0</v>
      </c>
      <c r="AE191" s="2">
        <f t="shared" si="70"/>
        <v>0</v>
      </c>
      <c r="AF191" s="2">
        <f t="shared" si="70"/>
        <v>0</v>
      </c>
      <c r="AG191" s="2">
        <f t="shared" si="70"/>
        <v>0</v>
      </c>
      <c r="AH191" s="2">
        <f t="shared" si="70"/>
        <v>0</v>
      </c>
      <c r="AI191" s="2">
        <f t="shared" si="70"/>
        <v>0</v>
      </c>
      <c r="AJ191" s="2">
        <f t="shared" si="70"/>
        <v>0</v>
      </c>
      <c r="AK191" s="2">
        <f t="shared" si="70"/>
        <v>0</v>
      </c>
      <c r="AL191" s="2">
        <f t="shared" si="70"/>
        <v>0</v>
      </c>
      <c r="AM191" s="2">
        <f t="shared" si="70"/>
        <v>0</v>
      </c>
      <c r="AN191" s="2">
        <f t="shared" si="70"/>
        <v>0</v>
      </c>
      <c r="AO191" s="2">
        <f t="shared" si="70"/>
        <v>0</v>
      </c>
      <c r="AP191" s="2">
        <f t="shared" si="70"/>
        <v>0</v>
      </c>
      <c r="AQ191" s="2">
        <f t="shared" si="70"/>
        <v>0</v>
      </c>
      <c r="AR191" s="2">
        <f t="shared" si="70"/>
        <v>0</v>
      </c>
      <c r="AS191" s="2">
        <f t="shared" si="70"/>
        <v>0</v>
      </c>
    </row>
    <row r="192" spans="1:45" hidden="1" x14ac:dyDescent="0.25">
      <c r="A192" s="2" t="s">
        <v>77</v>
      </c>
      <c r="B192" s="2">
        <v>0</v>
      </c>
      <c r="C192" s="2">
        <f t="shared" si="70"/>
        <v>0</v>
      </c>
      <c r="D192" s="2">
        <f t="shared" si="70"/>
        <v>0</v>
      </c>
      <c r="E192" s="2">
        <f t="shared" si="70"/>
        <v>0</v>
      </c>
      <c r="F192" s="2">
        <f t="shared" si="70"/>
        <v>0</v>
      </c>
      <c r="G192" s="2">
        <f t="shared" si="70"/>
        <v>0</v>
      </c>
      <c r="H192" s="2">
        <f t="shared" si="70"/>
        <v>0</v>
      </c>
      <c r="I192" s="2">
        <f t="shared" si="70"/>
        <v>0</v>
      </c>
      <c r="J192" s="2">
        <f t="shared" si="70"/>
        <v>0</v>
      </c>
      <c r="K192" s="2">
        <f t="shared" si="70"/>
        <v>0</v>
      </c>
      <c r="L192" s="2">
        <f t="shared" si="70"/>
        <v>0</v>
      </c>
      <c r="M192" s="2">
        <f t="shared" si="70"/>
        <v>0</v>
      </c>
      <c r="N192" s="2">
        <f t="shared" si="70"/>
        <v>0</v>
      </c>
      <c r="O192" s="2">
        <f t="shared" si="70"/>
        <v>0</v>
      </c>
      <c r="P192" s="2">
        <f t="shared" si="70"/>
        <v>0</v>
      </c>
      <c r="Q192" s="2">
        <f t="shared" si="70"/>
        <v>0</v>
      </c>
      <c r="R192" s="2">
        <f t="shared" si="70"/>
        <v>0</v>
      </c>
      <c r="S192" s="2">
        <f t="shared" si="70"/>
        <v>0</v>
      </c>
      <c r="T192" s="2">
        <f t="shared" si="70"/>
        <v>0</v>
      </c>
      <c r="U192" s="2">
        <f t="shared" si="70"/>
        <v>0</v>
      </c>
      <c r="V192" s="2">
        <f t="shared" si="70"/>
        <v>0</v>
      </c>
      <c r="W192" s="2">
        <f t="shared" si="70"/>
        <v>0</v>
      </c>
      <c r="X192" s="2">
        <f t="shared" si="70"/>
        <v>0</v>
      </c>
      <c r="Y192" s="2">
        <f t="shared" si="70"/>
        <v>0</v>
      </c>
      <c r="Z192" s="2">
        <f t="shared" si="70"/>
        <v>0</v>
      </c>
      <c r="AA192" s="2">
        <f t="shared" si="70"/>
        <v>0</v>
      </c>
      <c r="AB192" s="2">
        <f t="shared" si="70"/>
        <v>0</v>
      </c>
      <c r="AC192" s="2">
        <f t="shared" si="70"/>
        <v>0</v>
      </c>
      <c r="AD192" s="2">
        <f t="shared" si="70"/>
        <v>0</v>
      </c>
      <c r="AE192" s="2">
        <f t="shared" si="70"/>
        <v>0</v>
      </c>
      <c r="AF192" s="2">
        <f t="shared" si="70"/>
        <v>0</v>
      </c>
      <c r="AG192" s="2">
        <f t="shared" si="70"/>
        <v>0</v>
      </c>
      <c r="AH192" s="2">
        <f t="shared" si="70"/>
        <v>0</v>
      </c>
      <c r="AI192" s="2">
        <f t="shared" si="70"/>
        <v>0</v>
      </c>
      <c r="AJ192" s="2">
        <f t="shared" si="70"/>
        <v>0</v>
      </c>
      <c r="AK192" s="2">
        <f t="shared" si="70"/>
        <v>0</v>
      </c>
      <c r="AL192" s="2">
        <f t="shared" si="70"/>
        <v>0</v>
      </c>
      <c r="AM192" s="2">
        <f t="shared" si="70"/>
        <v>0</v>
      </c>
      <c r="AN192" s="2">
        <f t="shared" si="70"/>
        <v>0</v>
      </c>
      <c r="AO192" s="2">
        <f t="shared" si="70"/>
        <v>0</v>
      </c>
      <c r="AP192" s="2">
        <f t="shared" si="70"/>
        <v>0</v>
      </c>
      <c r="AQ192" s="2">
        <f t="shared" si="70"/>
        <v>0</v>
      </c>
      <c r="AR192" s="2">
        <f t="shared" si="70"/>
        <v>0</v>
      </c>
      <c r="AS192" s="2">
        <f t="shared" si="70"/>
        <v>0</v>
      </c>
    </row>
    <row r="193" spans="1:45" hidden="1" x14ac:dyDescent="0.25">
      <c r="A193" s="2" t="s">
        <v>78</v>
      </c>
      <c r="C193" s="2">
        <f>SUM(C182:C192)</f>
        <v>872.78919899999994</v>
      </c>
      <c r="D193" s="2">
        <f t="shared" ref="D193:AS193" si="71">SUM(D182:D192)</f>
        <v>878.68811900000003</v>
      </c>
      <c r="E193" s="2">
        <f>SUM(E182:E192)</f>
        <v>853.01773799999989</v>
      </c>
      <c r="F193" s="2">
        <f>SUM(F182:F192)</f>
        <v>849.98907700000018</v>
      </c>
      <c r="G193" s="2">
        <f t="shared" si="71"/>
        <v>854.72610299999997</v>
      </c>
      <c r="H193" s="2">
        <f>SUM(H182:H192)</f>
        <v>869.71329900000012</v>
      </c>
      <c r="I193" s="2">
        <f>SUM(I182:I192)</f>
        <v>845.21972799999992</v>
      </c>
      <c r="J193" s="2">
        <f>SUM(J182:J192)</f>
        <v>902.2623719999998</v>
      </c>
      <c r="K193" s="2">
        <f t="shared" si="71"/>
        <v>866.82644300000015</v>
      </c>
      <c r="L193" s="2">
        <f>SUM(L182:L192)</f>
        <v>901.40789500000005</v>
      </c>
      <c r="M193" s="2">
        <f>SUM(M182:M192)</f>
        <v>891.62530800000002</v>
      </c>
      <c r="N193" s="2">
        <f t="shared" si="71"/>
        <v>802.1462610000001</v>
      </c>
      <c r="O193" s="2">
        <f t="shared" si="71"/>
        <v>801.51327200000014</v>
      </c>
      <c r="P193" s="2">
        <f t="shared" si="71"/>
        <v>802.03984700000001</v>
      </c>
      <c r="Q193" s="2">
        <f t="shared" si="71"/>
        <v>883.25186000000008</v>
      </c>
      <c r="R193" s="2">
        <f>SUM(R182:R192)</f>
        <v>866.0427440000002</v>
      </c>
      <c r="S193" s="2">
        <f>SUM(S182:S192)</f>
        <v>821.99396000000002</v>
      </c>
      <c r="T193" s="2">
        <f t="shared" si="71"/>
        <v>826.88359800000001</v>
      </c>
      <c r="U193" s="2">
        <f t="shared" si="71"/>
        <v>844.42725499999995</v>
      </c>
      <c r="V193" s="2">
        <f>SUM(V182:V192)</f>
        <v>872.13954200000012</v>
      </c>
      <c r="W193" s="2">
        <f t="shared" si="71"/>
        <v>867.04752299999996</v>
      </c>
      <c r="X193" s="2">
        <f t="shared" si="71"/>
        <v>824.68979600000011</v>
      </c>
      <c r="Y193" s="2">
        <f t="shared" si="71"/>
        <v>873.35625500000003</v>
      </c>
      <c r="Z193" s="2">
        <f t="shared" si="71"/>
        <v>875.33856000000003</v>
      </c>
      <c r="AA193" s="2">
        <f>SUM(AA182:AA192)</f>
        <v>894.18074999999999</v>
      </c>
      <c r="AB193" s="2">
        <f t="shared" si="71"/>
        <v>870.10408499999994</v>
      </c>
      <c r="AC193" s="2">
        <f t="shared" si="71"/>
        <v>854.91951199999994</v>
      </c>
      <c r="AD193" s="2">
        <f t="shared" si="71"/>
        <v>885.71304299999997</v>
      </c>
      <c r="AE193" s="2">
        <f t="shared" si="71"/>
        <v>907.54660000000013</v>
      </c>
      <c r="AF193" s="2">
        <f t="shared" si="71"/>
        <v>855.66719000000012</v>
      </c>
      <c r="AG193" s="2">
        <f t="shared" si="71"/>
        <v>882.43085300000007</v>
      </c>
      <c r="AH193" s="2">
        <f t="shared" si="71"/>
        <v>839.23395500000004</v>
      </c>
      <c r="AI193" s="2">
        <f t="shared" si="71"/>
        <v>873.19106599999998</v>
      </c>
      <c r="AJ193" s="2">
        <f>SUM(AJ182:AJ192)</f>
        <v>843.22742100000005</v>
      </c>
      <c r="AK193" s="2">
        <f t="shared" si="71"/>
        <v>816.65104600000018</v>
      </c>
      <c r="AL193" s="2">
        <f t="shared" si="71"/>
        <v>894.01474800000005</v>
      </c>
      <c r="AM193" s="2">
        <f t="shared" si="71"/>
        <v>801.95041500000002</v>
      </c>
      <c r="AN193" s="2">
        <f t="shared" si="71"/>
        <v>0</v>
      </c>
      <c r="AO193" s="2">
        <f t="shared" si="71"/>
        <v>819.20244200000013</v>
      </c>
      <c r="AP193" s="2">
        <f t="shared" si="71"/>
        <v>839.89537999999993</v>
      </c>
      <c r="AQ193" s="2">
        <f t="shared" si="71"/>
        <v>0</v>
      </c>
      <c r="AR193" s="2">
        <f t="shared" si="71"/>
        <v>830.59125700000004</v>
      </c>
      <c r="AS193" s="2">
        <f t="shared" si="71"/>
        <v>851.11524800000007</v>
      </c>
    </row>
    <row r="194" spans="1:45" hidden="1" x14ac:dyDescent="0.25"/>
    <row r="195" spans="1:45" hidden="1" x14ac:dyDescent="0.25">
      <c r="A195" s="52" t="s">
        <v>108</v>
      </c>
    </row>
    <row r="196" spans="1:45" hidden="1" x14ac:dyDescent="0.25">
      <c r="A196" s="2" t="s">
        <v>67</v>
      </c>
      <c r="B196" s="2">
        <v>891.09</v>
      </c>
      <c r="C196" s="2">
        <f t="shared" ref="C196:AS201" si="72">C5/100*$B196</f>
        <v>798.95129399999996</v>
      </c>
      <c r="D196" s="2">
        <f t="shared" si="72"/>
        <v>790.39683000000002</v>
      </c>
      <c r="E196" s="2">
        <f t="shared" si="72"/>
        <v>813.56516999999997</v>
      </c>
      <c r="F196" s="2">
        <f t="shared" si="72"/>
        <v>816.95131200000003</v>
      </c>
      <c r="G196" s="2">
        <f t="shared" si="72"/>
        <v>817.04042099999992</v>
      </c>
      <c r="H196" s="2">
        <f t="shared" si="72"/>
        <v>823.01072399999998</v>
      </c>
      <c r="I196" s="2">
        <f t="shared" si="72"/>
        <v>842.79292199999998</v>
      </c>
      <c r="J196" s="2">
        <f t="shared" si="72"/>
        <v>789.50573999999995</v>
      </c>
      <c r="K196" s="2">
        <f t="shared" si="72"/>
        <v>824.79290400000002</v>
      </c>
      <c r="L196" s="2">
        <f t="shared" si="72"/>
        <v>762.1492770000001</v>
      </c>
      <c r="M196" s="2">
        <f t="shared" si="72"/>
        <v>785.58494399999995</v>
      </c>
      <c r="N196" s="2">
        <f t="shared" si="72"/>
        <v>889.30781999999999</v>
      </c>
      <c r="O196" s="2">
        <f t="shared" si="72"/>
        <v>889.30781999999999</v>
      </c>
      <c r="P196" s="2">
        <f t="shared" si="72"/>
        <v>889.57514700000002</v>
      </c>
      <c r="Q196" s="2">
        <f t="shared" si="72"/>
        <v>818.37705600000004</v>
      </c>
      <c r="R196" s="2">
        <f t="shared" si="72"/>
        <v>827.55528300000014</v>
      </c>
      <c r="S196" s="2">
        <f t="shared" si="72"/>
        <v>866.49591599999997</v>
      </c>
      <c r="T196" s="2">
        <f t="shared" si="72"/>
        <v>865.87215300000003</v>
      </c>
      <c r="U196" s="2">
        <f t="shared" si="72"/>
        <v>832.18895099999997</v>
      </c>
      <c r="V196" s="2">
        <f t="shared" si="72"/>
        <v>818.55527400000005</v>
      </c>
      <c r="W196" s="2">
        <f t="shared" si="72"/>
        <v>835.84241999999995</v>
      </c>
      <c r="X196" s="2">
        <f t="shared" si="72"/>
        <v>861.68403000000012</v>
      </c>
      <c r="Y196" s="2">
        <f t="shared" si="72"/>
        <v>823.90181400000006</v>
      </c>
      <c r="Z196" s="2">
        <f t="shared" si="72"/>
        <v>822.56517900000006</v>
      </c>
      <c r="AA196" s="2">
        <f t="shared" si="72"/>
        <v>804.743379</v>
      </c>
      <c r="AB196" s="2">
        <f t="shared" si="72"/>
        <v>822.74339700000007</v>
      </c>
      <c r="AC196" s="2">
        <f t="shared" si="72"/>
        <v>819.62458200000003</v>
      </c>
      <c r="AD196" s="2">
        <f t="shared" si="72"/>
        <v>808.57506599999999</v>
      </c>
      <c r="AE196" s="2">
        <f t="shared" si="72"/>
        <v>781.57503900000017</v>
      </c>
      <c r="AF196" s="2">
        <f t="shared" si="72"/>
        <v>802.33743600000014</v>
      </c>
      <c r="AG196" s="2">
        <f t="shared" si="72"/>
        <v>802.60476299999993</v>
      </c>
      <c r="AH196" s="2">
        <f t="shared" si="72"/>
        <v>831.38697000000002</v>
      </c>
      <c r="AI196" s="2">
        <f t="shared" si="72"/>
        <v>823.99092299999995</v>
      </c>
      <c r="AJ196" s="2">
        <f t="shared" si="72"/>
        <v>844.57510200000002</v>
      </c>
      <c r="AK196" s="2">
        <f t="shared" si="72"/>
        <v>874.33750800000007</v>
      </c>
      <c r="AL196" s="2">
        <f t="shared" si="72"/>
        <v>773.37701099999992</v>
      </c>
      <c r="AM196" s="2">
        <f t="shared" si="72"/>
        <v>888.77316599999995</v>
      </c>
      <c r="AN196" s="2">
        <f t="shared" si="72"/>
        <v>0</v>
      </c>
      <c r="AO196" s="2">
        <f t="shared" si="72"/>
        <v>867.56522400000006</v>
      </c>
      <c r="AP196" s="2">
        <f t="shared" si="72"/>
        <v>837.62459999999999</v>
      </c>
      <c r="AQ196" s="2">
        <f t="shared" si="72"/>
        <v>0</v>
      </c>
      <c r="AR196" s="2">
        <f t="shared" si="72"/>
        <v>853.21867500000008</v>
      </c>
      <c r="AS196" s="2">
        <f t="shared" si="72"/>
        <v>829.6938990000001</v>
      </c>
    </row>
    <row r="197" spans="1:45" hidden="1" x14ac:dyDescent="0.25">
      <c r="A197" s="2" t="s">
        <v>68</v>
      </c>
      <c r="B197" s="2">
        <v>1561.41</v>
      </c>
      <c r="C197" s="2">
        <f t="shared" si="72"/>
        <v>132.407568</v>
      </c>
      <c r="D197" s="2">
        <f t="shared" si="72"/>
        <v>130.22159400000001</v>
      </c>
      <c r="E197" s="2">
        <f t="shared" si="72"/>
        <v>112.57766100000001</v>
      </c>
      <c r="F197" s="2">
        <f t="shared" si="72"/>
        <v>124.44437699999999</v>
      </c>
      <c r="G197" s="2">
        <f t="shared" si="72"/>
        <v>126.63035099999999</v>
      </c>
      <c r="H197" s="2">
        <f t="shared" si="72"/>
        <v>76.196808000000004</v>
      </c>
      <c r="I197" s="2">
        <f t="shared" si="72"/>
        <v>59.802003000000006</v>
      </c>
      <c r="J197" s="2">
        <f t="shared" si="72"/>
        <v>118.97944200000001</v>
      </c>
      <c r="K197" s="2">
        <f t="shared" si="72"/>
        <v>73.38627000000001</v>
      </c>
      <c r="L197" s="2">
        <f t="shared" si="72"/>
        <v>200.17276200000003</v>
      </c>
      <c r="M197" s="2">
        <f t="shared" si="72"/>
        <v>146.61639900000003</v>
      </c>
      <c r="N197" s="2">
        <f t="shared" si="72"/>
        <v>0.93684599999999996</v>
      </c>
      <c r="O197" s="2">
        <f t="shared" si="72"/>
        <v>0.46842299999999998</v>
      </c>
      <c r="P197" s="2">
        <f t="shared" si="72"/>
        <v>0.78070500000000009</v>
      </c>
      <c r="Q197" s="2">
        <f t="shared" si="72"/>
        <v>69.95116800000001</v>
      </c>
      <c r="R197" s="2">
        <f t="shared" si="72"/>
        <v>60.582708000000004</v>
      </c>
      <c r="S197" s="2">
        <f t="shared" si="72"/>
        <v>38.410686000000005</v>
      </c>
      <c r="T197" s="2">
        <f t="shared" si="72"/>
        <v>32.477328</v>
      </c>
      <c r="U197" s="2">
        <f t="shared" si="72"/>
        <v>101.80393199999999</v>
      </c>
      <c r="V197" s="2">
        <f t="shared" si="72"/>
        <v>88.375806000000011</v>
      </c>
      <c r="W197" s="2">
        <f t="shared" si="72"/>
        <v>48.403710000000004</v>
      </c>
      <c r="X197" s="2">
        <f t="shared" si="72"/>
        <v>35.756289000000002</v>
      </c>
      <c r="Y197" s="2">
        <f t="shared" si="72"/>
        <v>63.237105000000007</v>
      </c>
      <c r="Z197" s="2">
        <f t="shared" si="72"/>
        <v>63.080964000000002</v>
      </c>
      <c r="AA197" s="2">
        <f t="shared" si="72"/>
        <v>83.535435000000007</v>
      </c>
      <c r="AB197" s="2">
        <f t="shared" si="72"/>
        <v>79.319627999999994</v>
      </c>
      <c r="AC197" s="2">
        <f t="shared" si="72"/>
        <v>86.970537000000007</v>
      </c>
      <c r="AD197" s="2">
        <f t="shared" si="72"/>
        <v>87.595101000000014</v>
      </c>
      <c r="AE197" s="2">
        <f t="shared" si="72"/>
        <v>122.10226200000001</v>
      </c>
      <c r="AF197" s="2">
        <f t="shared" si="72"/>
        <v>143.02515600000001</v>
      </c>
      <c r="AG197" s="2">
        <f t="shared" si="72"/>
        <v>97.588125000000005</v>
      </c>
      <c r="AH197" s="2">
        <f t="shared" si="72"/>
        <v>97.588125000000005</v>
      </c>
      <c r="AI197" s="2">
        <f t="shared" si="72"/>
        <v>69.795027000000005</v>
      </c>
      <c r="AJ197" s="2">
        <f t="shared" si="72"/>
        <v>55.586196000000001</v>
      </c>
      <c r="AK197" s="2">
        <f t="shared" si="72"/>
        <v>24.045714000000004</v>
      </c>
      <c r="AL197" s="2">
        <f t="shared" si="72"/>
        <v>168.788421</v>
      </c>
      <c r="AM197" s="2">
        <f t="shared" si="72"/>
        <v>1.249128</v>
      </c>
      <c r="AN197" s="2">
        <f t="shared" si="72"/>
        <v>0</v>
      </c>
      <c r="AO197" s="2">
        <f t="shared" si="72"/>
        <v>37.942263000000004</v>
      </c>
      <c r="AP197" s="2">
        <f t="shared" si="72"/>
        <v>88.688087999999993</v>
      </c>
      <c r="AQ197" s="2">
        <f t="shared" si="72"/>
        <v>0</v>
      </c>
      <c r="AR197" s="2">
        <f t="shared" si="72"/>
        <v>61.207272000000003</v>
      </c>
      <c r="AS197" s="2">
        <f t="shared" si="72"/>
        <v>93.684600000000003</v>
      </c>
    </row>
    <row r="198" spans="1:45" hidden="1" x14ac:dyDescent="0.25">
      <c r="A198" s="2" t="s">
        <v>69</v>
      </c>
      <c r="B198" s="2">
        <v>2220.13</v>
      </c>
      <c r="C198" s="2">
        <f t="shared" si="72"/>
        <v>28.195651000000002</v>
      </c>
      <c r="D198" s="2">
        <f t="shared" si="72"/>
        <v>37.520196999999996</v>
      </c>
      <c r="E198" s="2">
        <f t="shared" si="72"/>
        <v>17.761040000000001</v>
      </c>
      <c r="F198" s="2">
        <f t="shared" si="72"/>
        <v>0.22201300000000002</v>
      </c>
      <c r="G198" s="2">
        <f t="shared" si="72"/>
        <v>3.1081820000000007</v>
      </c>
      <c r="H198" s="2">
        <f t="shared" si="72"/>
        <v>40.628379000000002</v>
      </c>
      <c r="I198" s="2">
        <f t="shared" si="72"/>
        <v>20.425196</v>
      </c>
      <c r="J198" s="2">
        <f t="shared" si="72"/>
        <v>62.163639999999994</v>
      </c>
      <c r="K198" s="2">
        <f t="shared" si="72"/>
        <v>37.076171000000002</v>
      </c>
      <c r="L198" s="2">
        <f t="shared" si="72"/>
        <v>32.413898000000003</v>
      </c>
      <c r="M198" s="2">
        <f t="shared" si="72"/>
        <v>44.4026</v>
      </c>
      <c r="N198" s="2">
        <f t="shared" si="72"/>
        <v>0.22201300000000002</v>
      </c>
      <c r="O198" s="2">
        <f t="shared" si="72"/>
        <v>0</v>
      </c>
      <c r="P198" s="2">
        <f t="shared" si="72"/>
        <v>0</v>
      </c>
      <c r="Q198" s="2">
        <f t="shared" si="72"/>
        <v>53.283120000000004</v>
      </c>
      <c r="R198" s="2">
        <f t="shared" si="72"/>
        <v>51.507016</v>
      </c>
      <c r="S198" s="2">
        <f t="shared" si="72"/>
        <v>3.5522080000000003</v>
      </c>
      <c r="T198" s="2">
        <f t="shared" si="72"/>
        <v>9.5465590000000002</v>
      </c>
      <c r="U198" s="2">
        <f t="shared" si="72"/>
        <v>1.7761040000000001</v>
      </c>
      <c r="V198" s="2">
        <f t="shared" si="72"/>
        <v>35.522080000000003</v>
      </c>
      <c r="W198" s="2">
        <f t="shared" si="72"/>
        <v>43.736561000000002</v>
      </c>
      <c r="X198" s="2">
        <f t="shared" si="72"/>
        <v>10.656623999999999</v>
      </c>
      <c r="Y198" s="2">
        <f t="shared" si="72"/>
        <v>43.736561000000002</v>
      </c>
      <c r="Z198" s="2">
        <f t="shared" si="72"/>
        <v>51.729029000000004</v>
      </c>
      <c r="AA198" s="2">
        <f t="shared" si="72"/>
        <v>71.266172999999995</v>
      </c>
      <c r="AB198" s="2">
        <f t="shared" si="72"/>
        <v>42.182470000000002</v>
      </c>
      <c r="AC198" s="2">
        <f t="shared" si="72"/>
        <v>27.973638000000001</v>
      </c>
      <c r="AD198" s="2">
        <f t="shared" si="72"/>
        <v>46.844742999999994</v>
      </c>
      <c r="AE198" s="2">
        <f t="shared" si="72"/>
        <v>63.717731000000001</v>
      </c>
      <c r="AF198" s="2">
        <f t="shared" si="72"/>
        <v>2.2201300000000002</v>
      </c>
      <c r="AG198" s="2">
        <f t="shared" si="72"/>
        <v>47.954808000000007</v>
      </c>
      <c r="AH198" s="2">
        <f t="shared" si="72"/>
        <v>1.1100650000000001</v>
      </c>
      <c r="AI198" s="2">
        <f t="shared" si="72"/>
        <v>45.068638999999997</v>
      </c>
      <c r="AJ198" s="2">
        <f t="shared" si="72"/>
        <v>19.315131000000001</v>
      </c>
      <c r="AK198" s="2">
        <f t="shared" si="72"/>
        <v>6.2163640000000013</v>
      </c>
      <c r="AL198" s="2">
        <f t="shared" si="72"/>
        <v>37.964223000000004</v>
      </c>
      <c r="AM198" s="2">
        <f t="shared" si="72"/>
        <v>0.22201300000000002</v>
      </c>
      <c r="AN198" s="2">
        <f t="shared" si="72"/>
        <v>0</v>
      </c>
      <c r="AO198" s="2">
        <f t="shared" si="72"/>
        <v>2.6641559999999997</v>
      </c>
      <c r="AP198" s="2">
        <f t="shared" si="72"/>
        <v>3.9962340000000003</v>
      </c>
      <c r="AQ198" s="2">
        <f t="shared" si="72"/>
        <v>0</v>
      </c>
      <c r="AR198" s="2">
        <f t="shared" si="72"/>
        <v>4.4402600000000003</v>
      </c>
      <c r="AS198" s="2">
        <f t="shared" si="72"/>
        <v>17.539027000000001</v>
      </c>
    </row>
    <row r="199" spans="1:45" hidden="1" x14ac:dyDescent="0.25">
      <c r="A199" s="2" t="s">
        <v>70</v>
      </c>
      <c r="B199" s="2">
        <v>2869.38</v>
      </c>
      <c r="C199" s="2">
        <f t="shared" si="72"/>
        <v>1.43469</v>
      </c>
      <c r="D199" s="2">
        <f t="shared" si="72"/>
        <v>5.7387600000000001</v>
      </c>
      <c r="E199" s="2">
        <f t="shared" si="72"/>
        <v>0.57387600000000005</v>
      </c>
      <c r="F199" s="2">
        <f t="shared" si="72"/>
        <v>0</v>
      </c>
      <c r="G199" s="2">
        <f t="shared" si="72"/>
        <v>0</v>
      </c>
      <c r="H199" s="2">
        <f t="shared" si="72"/>
        <v>10.329768</v>
      </c>
      <c r="I199" s="2">
        <f t="shared" si="72"/>
        <v>5.4518219999999999</v>
      </c>
      <c r="J199" s="2">
        <f t="shared" si="72"/>
        <v>10.329768</v>
      </c>
      <c r="K199" s="2">
        <f t="shared" si="72"/>
        <v>9.1820160000000008</v>
      </c>
      <c r="L199" s="2">
        <f t="shared" si="72"/>
        <v>1.1477520000000001</v>
      </c>
      <c r="M199" s="2">
        <f t="shared" si="72"/>
        <v>4.5910080000000004</v>
      </c>
      <c r="N199" s="2">
        <f t="shared" si="72"/>
        <v>0</v>
      </c>
      <c r="O199" s="2">
        <f t="shared" si="72"/>
        <v>0</v>
      </c>
      <c r="P199" s="2">
        <f t="shared" si="72"/>
        <v>0</v>
      </c>
      <c r="Q199" s="2">
        <f t="shared" si="72"/>
        <v>14.346900000000002</v>
      </c>
      <c r="R199" s="2">
        <f t="shared" si="72"/>
        <v>7.460388</v>
      </c>
      <c r="S199" s="2">
        <f t="shared" si="72"/>
        <v>1.7216279999999999</v>
      </c>
      <c r="T199" s="2">
        <f t="shared" si="72"/>
        <v>5.4518219999999999</v>
      </c>
      <c r="U199" s="2">
        <f t="shared" si="72"/>
        <v>0</v>
      </c>
      <c r="V199" s="2">
        <f t="shared" si="72"/>
        <v>12.051396</v>
      </c>
      <c r="W199" s="2">
        <f t="shared" si="72"/>
        <v>14.059962000000001</v>
      </c>
      <c r="X199" s="2">
        <f t="shared" si="72"/>
        <v>2.5824419999999999</v>
      </c>
      <c r="Y199" s="2">
        <f t="shared" si="72"/>
        <v>14.920776</v>
      </c>
      <c r="Z199" s="2">
        <f t="shared" si="72"/>
        <v>15.494652000000002</v>
      </c>
      <c r="AA199" s="2">
        <f t="shared" si="72"/>
        <v>16.929342000000002</v>
      </c>
      <c r="AB199" s="2">
        <f t="shared" si="72"/>
        <v>9.4689540000000001</v>
      </c>
      <c r="AC199" s="2">
        <f t="shared" si="72"/>
        <v>3.4432559999999999</v>
      </c>
      <c r="AD199" s="2">
        <f t="shared" si="72"/>
        <v>18.650970000000001</v>
      </c>
      <c r="AE199" s="2">
        <f t="shared" si="72"/>
        <v>15.207714000000001</v>
      </c>
      <c r="AF199" s="2">
        <f t="shared" si="72"/>
        <v>0</v>
      </c>
      <c r="AG199" s="2">
        <f t="shared" si="72"/>
        <v>11.190582000000001</v>
      </c>
      <c r="AH199" s="2">
        <f t="shared" si="72"/>
        <v>0</v>
      </c>
      <c r="AI199" s="2">
        <f t="shared" si="72"/>
        <v>12.625272000000001</v>
      </c>
      <c r="AJ199" s="2">
        <f t="shared" si="72"/>
        <v>8.0342640000000021</v>
      </c>
      <c r="AK199" s="2">
        <f t="shared" si="72"/>
        <v>0.86081399999999997</v>
      </c>
      <c r="AL199" s="2">
        <f t="shared" si="72"/>
        <v>3.730194</v>
      </c>
      <c r="AM199" s="2">
        <f t="shared" si="72"/>
        <v>0</v>
      </c>
      <c r="AN199" s="2">
        <f t="shared" si="72"/>
        <v>0</v>
      </c>
      <c r="AO199" s="2">
        <f t="shared" si="72"/>
        <v>0.28693800000000003</v>
      </c>
      <c r="AP199" s="2">
        <f t="shared" si="72"/>
        <v>0.28693800000000003</v>
      </c>
      <c r="AQ199" s="2">
        <f t="shared" si="72"/>
        <v>0</v>
      </c>
      <c r="AR199" s="2">
        <f t="shared" si="72"/>
        <v>0.86081399999999997</v>
      </c>
      <c r="AS199" s="2">
        <f t="shared" si="72"/>
        <v>0.86081399999999997</v>
      </c>
    </row>
    <row r="200" spans="1:45" hidden="1" x14ac:dyDescent="0.25">
      <c r="A200" s="2" t="s">
        <v>71</v>
      </c>
      <c r="B200" s="2">
        <v>2878.57</v>
      </c>
      <c r="C200" s="2">
        <f t="shared" si="72"/>
        <v>1.1514280000000001</v>
      </c>
      <c r="D200" s="2">
        <f t="shared" si="72"/>
        <v>8.3478530000000006</v>
      </c>
      <c r="E200" s="2">
        <f t="shared" si="72"/>
        <v>0.28785700000000003</v>
      </c>
      <c r="F200" s="2">
        <f t="shared" si="72"/>
        <v>0</v>
      </c>
      <c r="G200" s="2">
        <f t="shared" si="72"/>
        <v>0</v>
      </c>
      <c r="H200" s="2">
        <f t="shared" si="72"/>
        <v>12.665708000000002</v>
      </c>
      <c r="I200" s="2">
        <f t="shared" si="72"/>
        <v>6.3328540000000011</v>
      </c>
      <c r="J200" s="2">
        <f t="shared" si="72"/>
        <v>14.968564000000001</v>
      </c>
      <c r="K200" s="2">
        <f t="shared" si="72"/>
        <v>12.089994000000001</v>
      </c>
      <c r="L200" s="2">
        <f t="shared" si="72"/>
        <v>0.86357099999999998</v>
      </c>
      <c r="M200" s="2">
        <f t="shared" si="72"/>
        <v>4.0299980000000009</v>
      </c>
      <c r="N200" s="2">
        <f t="shared" si="72"/>
        <v>0</v>
      </c>
      <c r="O200" s="2">
        <f t="shared" si="72"/>
        <v>0</v>
      </c>
      <c r="P200" s="2">
        <f t="shared" si="72"/>
        <v>0</v>
      </c>
      <c r="Q200" s="2">
        <f t="shared" si="72"/>
        <v>19.286419000000002</v>
      </c>
      <c r="R200" s="2">
        <f t="shared" si="72"/>
        <v>9.2114240000000009</v>
      </c>
      <c r="S200" s="2">
        <f t="shared" si="72"/>
        <v>0.86357099999999998</v>
      </c>
      <c r="T200" s="2">
        <f t="shared" si="72"/>
        <v>2.590713</v>
      </c>
      <c r="U200" s="2">
        <f t="shared" si="72"/>
        <v>0</v>
      </c>
      <c r="V200" s="2">
        <f t="shared" si="72"/>
        <v>10.938566</v>
      </c>
      <c r="W200" s="2">
        <f t="shared" si="72"/>
        <v>17.271420000000003</v>
      </c>
      <c r="X200" s="2">
        <f t="shared" si="72"/>
        <v>3.1664270000000005</v>
      </c>
      <c r="Y200" s="2">
        <f t="shared" si="72"/>
        <v>18.422848000000002</v>
      </c>
      <c r="Z200" s="2">
        <f t="shared" si="72"/>
        <v>15.256421000000001</v>
      </c>
      <c r="AA200" s="2">
        <f t="shared" si="72"/>
        <v>11.514280000000001</v>
      </c>
      <c r="AB200" s="2">
        <f t="shared" si="72"/>
        <v>9.2114240000000009</v>
      </c>
      <c r="AC200" s="2">
        <f t="shared" si="72"/>
        <v>8.0599960000000017</v>
      </c>
      <c r="AD200" s="2">
        <f t="shared" si="72"/>
        <v>17.559276999999998</v>
      </c>
      <c r="AE200" s="2">
        <f t="shared" si="72"/>
        <v>17.847134</v>
      </c>
      <c r="AF200" s="2">
        <f t="shared" si="72"/>
        <v>0</v>
      </c>
      <c r="AG200" s="2">
        <f t="shared" si="72"/>
        <v>16.983563</v>
      </c>
      <c r="AH200" s="2">
        <f t="shared" si="72"/>
        <v>0</v>
      </c>
      <c r="AI200" s="2">
        <f t="shared" si="72"/>
        <v>14.392850000000001</v>
      </c>
      <c r="AJ200" s="2">
        <f t="shared" si="72"/>
        <v>6.9085679999999998</v>
      </c>
      <c r="AK200" s="2">
        <f t="shared" si="72"/>
        <v>0.57571400000000006</v>
      </c>
      <c r="AL200" s="2">
        <f t="shared" si="72"/>
        <v>4.8935690000000003</v>
      </c>
      <c r="AM200" s="2">
        <f t="shared" si="72"/>
        <v>0</v>
      </c>
      <c r="AN200" s="2">
        <f t="shared" si="72"/>
        <v>0</v>
      </c>
      <c r="AO200" s="2">
        <f t="shared" si="72"/>
        <v>0.28785700000000003</v>
      </c>
      <c r="AP200" s="2">
        <f t="shared" si="72"/>
        <v>0.28785700000000003</v>
      </c>
      <c r="AQ200" s="2">
        <f t="shared" si="72"/>
        <v>0</v>
      </c>
      <c r="AR200" s="2">
        <f t="shared" si="72"/>
        <v>0.86357099999999998</v>
      </c>
      <c r="AS200" s="2">
        <f t="shared" si="72"/>
        <v>1.1514280000000001</v>
      </c>
    </row>
    <row r="201" spans="1:45" hidden="1" x14ac:dyDescent="0.25">
      <c r="A201" s="2" t="s">
        <v>72</v>
      </c>
      <c r="B201" s="2">
        <v>3530.24</v>
      </c>
      <c r="C201" s="2">
        <f t="shared" si="72"/>
        <v>2.824192</v>
      </c>
      <c r="D201" s="2">
        <f t="shared" si="72"/>
        <v>0</v>
      </c>
      <c r="E201" s="2">
        <f t="shared" si="72"/>
        <v>0</v>
      </c>
      <c r="F201" s="2">
        <f t="shared" si="72"/>
        <v>0</v>
      </c>
      <c r="G201" s="2">
        <f t="shared" si="72"/>
        <v>0</v>
      </c>
      <c r="H201" s="2">
        <f t="shared" si="72"/>
        <v>0</v>
      </c>
      <c r="I201" s="2">
        <f t="shared" si="72"/>
        <v>1.412096</v>
      </c>
      <c r="J201" s="2">
        <f t="shared" si="72"/>
        <v>1.412096</v>
      </c>
      <c r="K201" s="2">
        <f t="shared" si="72"/>
        <v>2.471168</v>
      </c>
      <c r="L201" s="2">
        <f t="shared" si="72"/>
        <v>0</v>
      </c>
      <c r="M201" s="2">
        <f t="shared" si="72"/>
        <v>0.70604800000000001</v>
      </c>
      <c r="N201" s="2">
        <f t="shared" si="72"/>
        <v>0</v>
      </c>
      <c r="O201" s="2">
        <f t="shared" si="72"/>
        <v>0</v>
      </c>
      <c r="P201" s="2">
        <f t="shared" si="72"/>
        <v>0</v>
      </c>
      <c r="Q201" s="2">
        <f t="shared" si="72"/>
        <v>1.412096</v>
      </c>
      <c r="R201" s="2">
        <f t="shared" si="72"/>
        <v>1.412096</v>
      </c>
      <c r="S201" s="2">
        <f t="shared" si="72"/>
        <v>0.70604800000000001</v>
      </c>
      <c r="T201" s="2">
        <f t="shared" si="72"/>
        <v>1.0590719999999998</v>
      </c>
      <c r="U201" s="2">
        <f t="shared" si="72"/>
        <v>0</v>
      </c>
      <c r="V201" s="2">
        <f t="shared" si="72"/>
        <v>0</v>
      </c>
      <c r="W201" s="2">
        <f t="shared" si="72"/>
        <v>0.70604800000000001</v>
      </c>
      <c r="X201" s="2">
        <f t="shared" si="72"/>
        <v>0.70604800000000001</v>
      </c>
      <c r="Y201" s="2">
        <f t="shared" si="72"/>
        <v>2.1181439999999996</v>
      </c>
      <c r="Z201" s="2">
        <f t="shared" si="72"/>
        <v>0.70604800000000001</v>
      </c>
      <c r="AA201" s="2">
        <f t="shared" si="72"/>
        <v>0.70604800000000001</v>
      </c>
      <c r="AB201" s="2">
        <f t="shared" si="72"/>
        <v>0</v>
      </c>
      <c r="AC201" s="2">
        <f t="shared" si="72"/>
        <v>0.70604800000000001</v>
      </c>
      <c r="AD201" s="2">
        <f t="shared" si="72"/>
        <v>0.70604800000000001</v>
      </c>
      <c r="AE201" s="2">
        <f t="shared" si="72"/>
        <v>2.1181439999999996</v>
      </c>
      <c r="AF201" s="2">
        <f t="shared" si="72"/>
        <v>0</v>
      </c>
      <c r="AG201" s="2">
        <f t="shared" si="72"/>
        <v>0</v>
      </c>
      <c r="AH201" s="2">
        <f t="shared" si="72"/>
        <v>0</v>
      </c>
      <c r="AI201" s="2">
        <f t="shared" si="72"/>
        <v>0.70604800000000001</v>
      </c>
      <c r="AJ201" s="2">
        <f t="shared" si="72"/>
        <v>0</v>
      </c>
      <c r="AK201" s="2">
        <f t="shared" si="72"/>
        <v>0</v>
      </c>
      <c r="AL201" s="2">
        <f t="shared" si="72"/>
        <v>0</v>
      </c>
      <c r="AM201" s="2">
        <f t="shared" si="72"/>
        <v>0</v>
      </c>
      <c r="AN201" s="2">
        <f t="shared" si="72"/>
        <v>0</v>
      </c>
      <c r="AO201" s="2">
        <f t="shared" si="72"/>
        <v>0</v>
      </c>
      <c r="AP201" s="2">
        <f t="shared" si="72"/>
        <v>0</v>
      </c>
      <c r="AQ201" s="2">
        <f t="shared" ref="AQ201:AS201" si="73">AQ10/100*$B201</f>
        <v>0</v>
      </c>
      <c r="AR201" s="2">
        <f t="shared" si="73"/>
        <v>0.353024</v>
      </c>
      <c r="AS201" s="2">
        <f t="shared" si="73"/>
        <v>0</v>
      </c>
    </row>
    <row r="202" spans="1:45" hidden="1" x14ac:dyDescent="0.25">
      <c r="A202" s="2" t="s">
        <v>73</v>
      </c>
      <c r="B202" s="2">
        <v>3537.17</v>
      </c>
      <c r="C202" s="2">
        <f t="shared" ref="C202:AS206" si="74">C11/100*$B202</f>
        <v>1.061151</v>
      </c>
      <c r="D202" s="2">
        <f t="shared" si="74"/>
        <v>0</v>
      </c>
      <c r="E202" s="2">
        <f t="shared" si="74"/>
        <v>0</v>
      </c>
      <c r="F202" s="2">
        <f t="shared" si="74"/>
        <v>0</v>
      </c>
      <c r="G202" s="2">
        <f t="shared" si="74"/>
        <v>0</v>
      </c>
      <c r="H202" s="2">
        <f t="shared" si="74"/>
        <v>0</v>
      </c>
      <c r="I202" s="2">
        <f t="shared" si="74"/>
        <v>0.353717</v>
      </c>
      <c r="J202" s="2">
        <f t="shared" si="74"/>
        <v>0.353717</v>
      </c>
      <c r="K202" s="2">
        <f t="shared" si="74"/>
        <v>0.70743400000000001</v>
      </c>
      <c r="L202" s="2">
        <f t="shared" si="74"/>
        <v>0</v>
      </c>
      <c r="M202" s="2">
        <f t="shared" si="74"/>
        <v>0.353717</v>
      </c>
      <c r="N202" s="2">
        <f t="shared" si="74"/>
        <v>0</v>
      </c>
      <c r="O202" s="2">
        <f t="shared" si="74"/>
        <v>0</v>
      </c>
      <c r="P202" s="2">
        <f t="shared" si="74"/>
        <v>0</v>
      </c>
      <c r="Q202" s="2">
        <f t="shared" si="74"/>
        <v>0.70743400000000001</v>
      </c>
      <c r="R202" s="2">
        <f t="shared" si="74"/>
        <v>0.70743400000000001</v>
      </c>
      <c r="S202" s="2">
        <f t="shared" si="74"/>
        <v>0</v>
      </c>
      <c r="T202" s="2">
        <f t="shared" si="74"/>
        <v>0</v>
      </c>
      <c r="U202" s="2">
        <f t="shared" si="74"/>
        <v>0</v>
      </c>
      <c r="V202" s="2">
        <f t="shared" si="74"/>
        <v>0</v>
      </c>
      <c r="W202" s="2">
        <f t="shared" si="74"/>
        <v>0</v>
      </c>
      <c r="X202" s="2">
        <f t="shared" si="74"/>
        <v>0</v>
      </c>
      <c r="Y202" s="2">
        <f t="shared" si="74"/>
        <v>0.353717</v>
      </c>
      <c r="Z202" s="2">
        <f t="shared" si="74"/>
        <v>0</v>
      </c>
      <c r="AA202" s="2">
        <f t="shared" si="74"/>
        <v>0.353717</v>
      </c>
      <c r="AB202" s="2">
        <f t="shared" si="74"/>
        <v>0.353717</v>
      </c>
      <c r="AC202" s="2">
        <f t="shared" si="74"/>
        <v>0</v>
      </c>
      <c r="AD202" s="2">
        <f t="shared" si="74"/>
        <v>0</v>
      </c>
      <c r="AE202" s="2">
        <f t="shared" si="74"/>
        <v>0.70743400000000001</v>
      </c>
      <c r="AF202" s="2">
        <f t="shared" si="74"/>
        <v>0</v>
      </c>
      <c r="AG202" s="2">
        <f t="shared" si="74"/>
        <v>0</v>
      </c>
      <c r="AH202" s="2">
        <f t="shared" si="74"/>
        <v>0</v>
      </c>
      <c r="AI202" s="2">
        <f t="shared" si="74"/>
        <v>0</v>
      </c>
      <c r="AJ202" s="2">
        <f t="shared" si="74"/>
        <v>0</v>
      </c>
      <c r="AK202" s="2">
        <f t="shared" si="74"/>
        <v>0</v>
      </c>
      <c r="AL202" s="2">
        <f t="shared" si="74"/>
        <v>0</v>
      </c>
      <c r="AM202" s="2">
        <f t="shared" si="74"/>
        <v>0</v>
      </c>
      <c r="AN202" s="2">
        <f t="shared" si="74"/>
        <v>0</v>
      </c>
      <c r="AO202" s="2">
        <f t="shared" si="74"/>
        <v>0</v>
      </c>
      <c r="AP202" s="2">
        <f t="shared" si="74"/>
        <v>0</v>
      </c>
      <c r="AQ202" s="2">
        <f t="shared" si="74"/>
        <v>0</v>
      </c>
      <c r="AR202" s="2">
        <f t="shared" si="74"/>
        <v>0</v>
      </c>
      <c r="AS202" s="2">
        <f t="shared" si="74"/>
        <v>0</v>
      </c>
    </row>
    <row r="203" spans="1:45" hidden="1" x14ac:dyDescent="0.25">
      <c r="A203" s="2" t="s">
        <v>74</v>
      </c>
      <c r="B203" s="2">
        <v>4196.58</v>
      </c>
      <c r="C203" s="2">
        <f t="shared" si="74"/>
        <v>0</v>
      </c>
      <c r="D203" s="2">
        <f t="shared" si="74"/>
        <v>0</v>
      </c>
      <c r="E203" s="2">
        <f t="shared" si="74"/>
        <v>0</v>
      </c>
      <c r="F203" s="2">
        <f t="shared" si="74"/>
        <v>0</v>
      </c>
      <c r="G203" s="2">
        <f t="shared" si="74"/>
        <v>0</v>
      </c>
      <c r="H203" s="2">
        <f t="shared" si="74"/>
        <v>0</v>
      </c>
      <c r="I203" s="2">
        <f t="shared" si="74"/>
        <v>0</v>
      </c>
      <c r="J203" s="2">
        <f t="shared" si="74"/>
        <v>0</v>
      </c>
      <c r="K203" s="2">
        <f t="shared" si="74"/>
        <v>0</v>
      </c>
      <c r="L203" s="2">
        <f t="shared" si="74"/>
        <v>0</v>
      </c>
      <c r="M203" s="2">
        <f t="shared" si="74"/>
        <v>0</v>
      </c>
      <c r="N203" s="2">
        <f t="shared" si="74"/>
        <v>0</v>
      </c>
      <c r="O203" s="2">
        <f t="shared" si="74"/>
        <v>0</v>
      </c>
      <c r="P203" s="2">
        <f t="shared" si="74"/>
        <v>0</v>
      </c>
      <c r="Q203" s="2">
        <f t="shared" si="74"/>
        <v>0</v>
      </c>
      <c r="R203" s="2">
        <f t="shared" si="74"/>
        <v>0.41965800000000003</v>
      </c>
      <c r="S203" s="2">
        <f t="shared" si="74"/>
        <v>0</v>
      </c>
      <c r="T203" s="2">
        <f t="shared" si="74"/>
        <v>0</v>
      </c>
      <c r="U203" s="2">
        <f t="shared" si="74"/>
        <v>0</v>
      </c>
      <c r="V203" s="2">
        <f t="shared" si="74"/>
        <v>0</v>
      </c>
      <c r="W203" s="2">
        <f t="shared" si="74"/>
        <v>0</v>
      </c>
      <c r="X203" s="2">
        <f t="shared" si="74"/>
        <v>0</v>
      </c>
      <c r="Y203" s="2">
        <f t="shared" si="74"/>
        <v>0</v>
      </c>
      <c r="Z203" s="2">
        <f t="shared" si="74"/>
        <v>0</v>
      </c>
      <c r="AA203" s="2">
        <f t="shared" si="74"/>
        <v>0</v>
      </c>
      <c r="AB203" s="2">
        <f t="shared" si="74"/>
        <v>0</v>
      </c>
      <c r="AC203" s="2">
        <f t="shared" si="74"/>
        <v>0</v>
      </c>
      <c r="AD203" s="2">
        <f t="shared" si="74"/>
        <v>0</v>
      </c>
      <c r="AE203" s="2">
        <f t="shared" si="74"/>
        <v>0</v>
      </c>
      <c r="AF203" s="2">
        <f t="shared" si="74"/>
        <v>0</v>
      </c>
      <c r="AG203" s="2">
        <f t="shared" si="74"/>
        <v>0</v>
      </c>
      <c r="AH203" s="2">
        <f t="shared" si="74"/>
        <v>0</v>
      </c>
      <c r="AI203" s="2">
        <f t="shared" si="74"/>
        <v>0</v>
      </c>
      <c r="AJ203" s="2">
        <f t="shared" si="74"/>
        <v>0</v>
      </c>
      <c r="AK203" s="2">
        <f t="shared" si="74"/>
        <v>0</v>
      </c>
      <c r="AL203" s="2">
        <f t="shared" si="74"/>
        <v>0</v>
      </c>
      <c r="AM203" s="2">
        <f t="shared" si="74"/>
        <v>0</v>
      </c>
      <c r="AN203" s="2">
        <f t="shared" si="74"/>
        <v>0</v>
      </c>
      <c r="AO203" s="2">
        <f t="shared" si="74"/>
        <v>0</v>
      </c>
      <c r="AP203" s="2">
        <f t="shared" si="74"/>
        <v>0</v>
      </c>
      <c r="AQ203" s="2">
        <f t="shared" si="74"/>
        <v>0</v>
      </c>
      <c r="AR203" s="2">
        <f t="shared" si="74"/>
        <v>0</v>
      </c>
      <c r="AS203" s="2">
        <f t="shared" si="74"/>
        <v>0</v>
      </c>
    </row>
    <row r="204" spans="1:45" hidden="1" x14ac:dyDescent="0.25">
      <c r="A204" s="2" t="s">
        <v>75</v>
      </c>
      <c r="B204" s="2">
        <v>0</v>
      </c>
      <c r="C204" s="2">
        <f t="shared" si="74"/>
        <v>0</v>
      </c>
      <c r="D204" s="2">
        <f t="shared" si="74"/>
        <v>0</v>
      </c>
      <c r="E204" s="2">
        <f t="shared" si="74"/>
        <v>0</v>
      </c>
      <c r="F204" s="2">
        <f t="shared" si="74"/>
        <v>0</v>
      </c>
      <c r="G204" s="2">
        <f t="shared" si="74"/>
        <v>0</v>
      </c>
      <c r="H204" s="2">
        <f t="shared" si="74"/>
        <v>0</v>
      </c>
      <c r="I204" s="2">
        <f t="shared" si="74"/>
        <v>0</v>
      </c>
      <c r="J204" s="2">
        <f t="shared" si="74"/>
        <v>0</v>
      </c>
      <c r="K204" s="2">
        <f t="shared" si="74"/>
        <v>0</v>
      </c>
      <c r="L204" s="2">
        <f t="shared" si="74"/>
        <v>0</v>
      </c>
      <c r="M204" s="2">
        <f t="shared" si="74"/>
        <v>0</v>
      </c>
      <c r="N204" s="2">
        <f t="shared" si="74"/>
        <v>0</v>
      </c>
      <c r="O204" s="2">
        <f t="shared" si="74"/>
        <v>0</v>
      </c>
      <c r="P204" s="2">
        <f t="shared" si="74"/>
        <v>0</v>
      </c>
      <c r="Q204" s="2">
        <f t="shared" si="74"/>
        <v>0</v>
      </c>
      <c r="R204" s="2">
        <f t="shared" si="74"/>
        <v>0</v>
      </c>
      <c r="S204" s="2">
        <f t="shared" si="74"/>
        <v>0</v>
      </c>
      <c r="T204" s="2">
        <f t="shared" si="74"/>
        <v>0</v>
      </c>
      <c r="U204" s="2">
        <f t="shared" si="74"/>
        <v>0</v>
      </c>
      <c r="V204" s="2">
        <f t="shared" si="74"/>
        <v>0</v>
      </c>
      <c r="W204" s="2">
        <f t="shared" si="74"/>
        <v>0</v>
      </c>
      <c r="X204" s="2">
        <f t="shared" si="74"/>
        <v>0</v>
      </c>
      <c r="Y204" s="2">
        <f t="shared" si="74"/>
        <v>0</v>
      </c>
      <c r="Z204" s="2">
        <f t="shared" si="74"/>
        <v>0</v>
      </c>
      <c r="AA204" s="2">
        <f t="shared" si="74"/>
        <v>0</v>
      </c>
      <c r="AB204" s="2">
        <f t="shared" si="74"/>
        <v>0</v>
      </c>
      <c r="AC204" s="2">
        <f t="shared" si="74"/>
        <v>0</v>
      </c>
      <c r="AD204" s="2">
        <f t="shared" si="74"/>
        <v>0</v>
      </c>
      <c r="AE204" s="2">
        <f t="shared" si="74"/>
        <v>0</v>
      </c>
      <c r="AF204" s="2">
        <f t="shared" si="74"/>
        <v>0</v>
      </c>
      <c r="AG204" s="2">
        <f t="shared" si="74"/>
        <v>0</v>
      </c>
      <c r="AH204" s="2">
        <f t="shared" si="74"/>
        <v>0</v>
      </c>
      <c r="AI204" s="2">
        <f t="shared" si="74"/>
        <v>0</v>
      </c>
      <c r="AJ204" s="2">
        <f t="shared" si="74"/>
        <v>0</v>
      </c>
      <c r="AK204" s="2">
        <f t="shared" si="74"/>
        <v>0</v>
      </c>
      <c r="AL204" s="2">
        <f t="shared" si="74"/>
        <v>0</v>
      </c>
      <c r="AM204" s="2">
        <f t="shared" si="74"/>
        <v>0</v>
      </c>
      <c r="AN204" s="2">
        <f t="shared" si="74"/>
        <v>0</v>
      </c>
      <c r="AO204" s="2">
        <f t="shared" si="74"/>
        <v>0</v>
      </c>
      <c r="AP204" s="2">
        <f t="shared" si="74"/>
        <v>0</v>
      </c>
      <c r="AQ204" s="2">
        <f t="shared" si="74"/>
        <v>0</v>
      </c>
      <c r="AR204" s="2">
        <f t="shared" si="74"/>
        <v>0</v>
      </c>
      <c r="AS204" s="2">
        <f t="shared" si="74"/>
        <v>0</v>
      </c>
    </row>
    <row r="205" spans="1:45" hidden="1" x14ac:dyDescent="0.25">
      <c r="A205" s="2" t="s">
        <v>76</v>
      </c>
      <c r="B205" s="2">
        <v>0</v>
      </c>
      <c r="C205" s="2">
        <f t="shared" si="74"/>
        <v>0</v>
      </c>
      <c r="D205" s="2">
        <f t="shared" si="74"/>
        <v>0</v>
      </c>
      <c r="E205" s="2">
        <f t="shared" si="74"/>
        <v>0</v>
      </c>
      <c r="F205" s="2">
        <f t="shared" si="74"/>
        <v>0</v>
      </c>
      <c r="G205" s="2">
        <f t="shared" si="74"/>
        <v>0</v>
      </c>
      <c r="H205" s="2">
        <f t="shared" si="74"/>
        <v>0</v>
      </c>
      <c r="I205" s="2">
        <f t="shared" si="74"/>
        <v>0</v>
      </c>
      <c r="J205" s="2">
        <f t="shared" si="74"/>
        <v>0</v>
      </c>
      <c r="K205" s="2">
        <f t="shared" si="74"/>
        <v>0</v>
      </c>
      <c r="L205" s="2">
        <f t="shared" si="74"/>
        <v>0</v>
      </c>
      <c r="M205" s="2">
        <f t="shared" si="74"/>
        <v>0</v>
      </c>
      <c r="N205" s="2">
        <f t="shared" si="74"/>
        <v>0</v>
      </c>
      <c r="O205" s="2">
        <f t="shared" si="74"/>
        <v>0</v>
      </c>
      <c r="P205" s="2">
        <f t="shared" si="74"/>
        <v>0</v>
      </c>
      <c r="Q205" s="2">
        <f t="shared" si="74"/>
        <v>0</v>
      </c>
      <c r="R205" s="2">
        <f t="shared" si="74"/>
        <v>0</v>
      </c>
      <c r="S205" s="2">
        <f t="shared" si="74"/>
        <v>0</v>
      </c>
      <c r="T205" s="2">
        <f t="shared" si="74"/>
        <v>0</v>
      </c>
      <c r="U205" s="2">
        <f t="shared" si="74"/>
        <v>0</v>
      </c>
      <c r="V205" s="2">
        <f t="shared" si="74"/>
        <v>0</v>
      </c>
      <c r="W205" s="2">
        <f t="shared" si="74"/>
        <v>0</v>
      </c>
      <c r="X205" s="2">
        <f t="shared" si="74"/>
        <v>0</v>
      </c>
      <c r="Y205" s="2">
        <f t="shared" si="74"/>
        <v>0</v>
      </c>
      <c r="Z205" s="2">
        <f t="shared" si="74"/>
        <v>0</v>
      </c>
      <c r="AA205" s="2">
        <f t="shared" si="74"/>
        <v>0</v>
      </c>
      <c r="AB205" s="2">
        <f t="shared" si="74"/>
        <v>0</v>
      </c>
      <c r="AC205" s="2">
        <f t="shared" si="74"/>
        <v>0</v>
      </c>
      <c r="AD205" s="2">
        <f t="shared" si="74"/>
        <v>0</v>
      </c>
      <c r="AE205" s="2">
        <f t="shared" si="74"/>
        <v>0</v>
      </c>
      <c r="AF205" s="2">
        <f t="shared" si="74"/>
        <v>0</v>
      </c>
      <c r="AG205" s="2">
        <f t="shared" si="74"/>
        <v>0</v>
      </c>
      <c r="AH205" s="2">
        <f t="shared" si="74"/>
        <v>0</v>
      </c>
      <c r="AI205" s="2">
        <f t="shared" si="74"/>
        <v>0</v>
      </c>
      <c r="AJ205" s="2">
        <f t="shared" si="74"/>
        <v>0</v>
      </c>
      <c r="AK205" s="2">
        <f t="shared" si="74"/>
        <v>0</v>
      </c>
      <c r="AL205" s="2">
        <f t="shared" si="74"/>
        <v>0</v>
      </c>
      <c r="AM205" s="2">
        <f t="shared" si="74"/>
        <v>0</v>
      </c>
      <c r="AN205" s="2">
        <f t="shared" si="74"/>
        <v>0</v>
      </c>
      <c r="AO205" s="2">
        <f t="shared" si="74"/>
        <v>0</v>
      </c>
      <c r="AP205" s="2">
        <f t="shared" si="74"/>
        <v>0</v>
      </c>
      <c r="AQ205" s="2">
        <f t="shared" si="74"/>
        <v>0</v>
      </c>
      <c r="AR205" s="2">
        <f t="shared" si="74"/>
        <v>0</v>
      </c>
      <c r="AS205" s="2">
        <f t="shared" si="74"/>
        <v>0</v>
      </c>
    </row>
    <row r="206" spans="1:45" hidden="1" x14ac:dyDescent="0.25">
      <c r="A206" s="2" t="s">
        <v>77</v>
      </c>
      <c r="B206" s="2">
        <v>0</v>
      </c>
      <c r="C206" s="2">
        <f t="shared" si="74"/>
        <v>0</v>
      </c>
      <c r="D206" s="2">
        <f t="shared" si="74"/>
        <v>0</v>
      </c>
      <c r="E206" s="2">
        <f t="shared" si="74"/>
        <v>0</v>
      </c>
      <c r="F206" s="2">
        <f t="shared" si="74"/>
        <v>0</v>
      </c>
      <c r="G206" s="2">
        <f t="shared" si="74"/>
        <v>0</v>
      </c>
      <c r="H206" s="2">
        <f t="shared" si="74"/>
        <v>0</v>
      </c>
      <c r="I206" s="2">
        <f t="shared" si="74"/>
        <v>0</v>
      </c>
      <c r="J206" s="2">
        <f t="shared" si="74"/>
        <v>0</v>
      </c>
      <c r="K206" s="2">
        <f t="shared" si="74"/>
        <v>0</v>
      </c>
      <c r="L206" s="2">
        <f t="shared" si="74"/>
        <v>0</v>
      </c>
      <c r="M206" s="2">
        <f t="shared" si="74"/>
        <v>0</v>
      </c>
      <c r="N206" s="2">
        <f t="shared" si="74"/>
        <v>0</v>
      </c>
      <c r="O206" s="2">
        <f t="shared" si="74"/>
        <v>0</v>
      </c>
      <c r="P206" s="2">
        <f t="shared" si="74"/>
        <v>0</v>
      </c>
      <c r="Q206" s="2">
        <f t="shared" si="74"/>
        <v>0</v>
      </c>
      <c r="R206" s="2">
        <f t="shared" si="74"/>
        <v>0</v>
      </c>
      <c r="S206" s="2">
        <f t="shared" si="74"/>
        <v>0</v>
      </c>
      <c r="T206" s="2">
        <f t="shared" si="74"/>
        <v>0</v>
      </c>
      <c r="U206" s="2">
        <f t="shared" si="74"/>
        <v>0</v>
      </c>
      <c r="V206" s="2">
        <f t="shared" si="74"/>
        <v>0</v>
      </c>
      <c r="W206" s="2">
        <f t="shared" si="74"/>
        <v>0</v>
      </c>
      <c r="X206" s="2">
        <f t="shared" si="74"/>
        <v>0</v>
      </c>
      <c r="Y206" s="2">
        <f t="shared" si="74"/>
        <v>0</v>
      </c>
      <c r="Z206" s="2">
        <f t="shared" si="74"/>
        <v>0</v>
      </c>
      <c r="AA206" s="2">
        <f t="shared" si="74"/>
        <v>0</v>
      </c>
      <c r="AB206" s="2">
        <f t="shared" si="74"/>
        <v>0</v>
      </c>
      <c r="AC206" s="2">
        <f t="shared" si="74"/>
        <v>0</v>
      </c>
      <c r="AD206" s="2">
        <f t="shared" si="74"/>
        <v>0</v>
      </c>
      <c r="AE206" s="2">
        <f t="shared" si="74"/>
        <v>0</v>
      </c>
      <c r="AF206" s="2">
        <f t="shared" si="74"/>
        <v>0</v>
      </c>
      <c r="AG206" s="2">
        <f t="shared" si="74"/>
        <v>0</v>
      </c>
      <c r="AH206" s="2">
        <f t="shared" si="74"/>
        <v>0</v>
      </c>
      <c r="AI206" s="2">
        <f t="shared" si="74"/>
        <v>0</v>
      </c>
      <c r="AJ206" s="2">
        <f t="shared" si="74"/>
        <v>0</v>
      </c>
      <c r="AK206" s="2">
        <f t="shared" si="74"/>
        <v>0</v>
      </c>
      <c r="AL206" s="2">
        <f t="shared" si="74"/>
        <v>0</v>
      </c>
      <c r="AM206" s="2">
        <f t="shared" si="74"/>
        <v>0</v>
      </c>
      <c r="AN206" s="2">
        <f t="shared" si="74"/>
        <v>0</v>
      </c>
      <c r="AO206" s="2">
        <f t="shared" si="74"/>
        <v>0</v>
      </c>
      <c r="AP206" s="2">
        <f t="shared" si="74"/>
        <v>0</v>
      </c>
      <c r="AQ206" s="2">
        <f t="shared" si="74"/>
        <v>0</v>
      </c>
      <c r="AR206" s="2">
        <f t="shared" si="74"/>
        <v>0</v>
      </c>
      <c r="AS206" s="2">
        <f t="shared" si="74"/>
        <v>0</v>
      </c>
    </row>
    <row r="207" spans="1:45" hidden="1" x14ac:dyDescent="0.25">
      <c r="A207" s="2" t="s">
        <v>78</v>
      </c>
      <c r="C207" s="2">
        <f>SUM(C196:C206)</f>
        <v>966.02597400000002</v>
      </c>
      <c r="D207" s="2">
        <f t="shared" ref="D207:AS207" si="75">SUM(D196:D206)</f>
        <v>972.225234</v>
      </c>
      <c r="E207" s="2">
        <f>SUM(E196:E206)</f>
        <v>944.76560400000005</v>
      </c>
      <c r="F207" s="2">
        <f>SUM(F196:F206)</f>
        <v>941.61770200000001</v>
      </c>
      <c r="G207" s="2">
        <f t="shared" si="75"/>
        <v>946.778954</v>
      </c>
      <c r="H207" s="2">
        <f>SUM(H196:H206)</f>
        <v>962.83138699999995</v>
      </c>
      <c r="I207" s="2">
        <f>SUM(I196:I206)</f>
        <v>936.57060999999999</v>
      </c>
      <c r="J207" s="2">
        <f>SUM(J196:J206)</f>
        <v>997.71296699999982</v>
      </c>
      <c r="K207" s="2">
        <f t="shared" si="75"/>
        <v>959.70595700000013</v>
      </c>
      <c r="L207" s="2">
        <f>SUM(L196:L206)</f>
        <v>996.7472600000001</v>
      </c>
      <c r="M207" s="2">
        <f>SUM(M196:M206)</f>
        <v>986.28471399999989</v>
      </c>
      <c r="N207" s="2">
        <f t="shared" si="75"/>
        <v>890.46667899999989</v>
      </c>
      <c r="O207" s="2">
        <f t="shared" si="75"/>
        <v>889.77624300000002</v>
      </c>
      <c r="P207" s="2">
        <f t="shared" si="75"/>
        <v>890.35585200000003</v>
      </c>
      <c r="Q207" s="2">
        <f t="shared" si="75"/>
        <v>977.36419300000023</v>
      </c>
      <c r="R207" s="2">
        <f>SUM(R196:R206)</f>
        <v>958.8560070000002</v>
      </c>
      <c r="S207" s="2">
        <f>SUM(S196:S206)</f>
        <v>911.75005699999997</v>
      </c>
      <c r="T207" s="2">
        <f t="shared" si="75"/>
        <v>916.99764700000003</v>
      </c>
      <c r="U207" s="2">
        <f t="shared" si="75"/>
        <v>935.76898700000004</v>
      </c>
      <c r="V207" s="2">
        <f>SUM(V196:V206)</f>
        <v>965.44312200000002</v>
      </c>
      <c r="W207" s="2">
        <f t="shared" si="75"/>
        <v>960.02012100000013</v>
      </c>
      <c r="X207" s="2">
        <f t="shared" si="75"/>
        <v>914.55186000000015</v>
      </c>
      <c r="Y207" s="2">
        <f t="shared" si="75"/>
        <v>966.69096500000023</v>
      </c>
      <c r="Z207" s="2">
        <f t="shared" si="75"/>
        <v>968.83229300000005</v>
      </c>
      <c r="AA207" s="2">
        <f>SUM(AA196:AA206)</f>
        <v>989.04837399999997</v>
      </c>
      <c r="AB207" s="2">
        <f t="shared" si="75"/>
        <v>963.27958999999998</v>
      </c>
      <c r="AC207" s="2">
        <f t="shared" si="75"/>
        <v>946.7780570000001</v>
      </c>
      <c r="AD207" s="2">
        <f t="shared" si="75"/>
        <v>979.93120499999998</v>
      </c>
      <c r="AE207" s="2">
        <f t="shared" si="75"/>
        <v>1003.2754580000002</v>
      </c>
      <c r="AF207" s="2">
        <f t="shared" si="75"/>
        <v>947.58272200000022</v>
      </c>
      <c r="AG207" s="2">
        <f t="shared" si="75"/>
        <v>976.32184099999984</v>
      </c>
      <c r="AH207" s="2">
        <f t="shared" si="75"/>
        <v>930.08515999999997</v>
      </c>
      <c r="AI207" s="2">
        <f t="shared" si="75"/>
        <v>966.57875899999988</v>
      </c>
      <c r="AJ207" s="2">
        <f>SUM(AJ196:AJ206)</f>
        <v>934.41926099999989</v>
      </c>
      <c r="AK207" s="2">
        <f t="shared" si="75"/>
        <v>906.036114</v>
      </c>
      <c r="AL207" s="2">
        <f t="shared" si="75"/>
        <v>988.7534179999999</v>
      </c>
      <c r="AM207" s="2">
        <f t="shared" si="75"/>
        <v>890.24430699999994</v>
      </c>
      <c r="AN207" s="2">
        <f t="shared" si="75"/>
        <v>0</v>
      </c>
      <c r="AO207" s="2">
        <f t="shared" si="75"/>
        <v>908.74643800000013</v>
      </c>
      <c r="AP207" s="2">
        <f t="shared" si="75"/>
        <v>930.88371699999993</v>
      </c>
      <c r="AQ207" s="2">
        <f t="shared" si="75"/>
        <v>0</v>
      </c>
      <c r="AR207" s="2">
        <f t="shared" si="75"/>
        <v>920.94361600000002</v>
      </c>
      <c r="AS207" s="2">
        <f t="shared" si="75"/>
        <v>942.92976800000019</v>
      </c>
    </row>
    <row r="208" spans="1:45" hidden="1" x14ac:dyDescent="0.25"/>
    <row r="209" spans="1:45" hidden="1" x14ac:dyDescent="0.25">
      <c r="A209" s="52" t="s">
        <v>109</v>
      </c>
    </row>
    <row r="210" spans="1:45" hidden="1" x14ac:dyDescent="0.25">
      <c r="A210" s="2" t="s">
        <v>67</v>
      </c>
      <c r="B210" s="2">
        <v>802.65</v>
      </c>
      <c r="C210" s="2">
        <f t="shared" ref="C210:AS215" si="76">C5/100*$B210</f>
        <v>719.65598999999997</v>
      </c>
      <c r="D210" s="2">
        <f t="shared" si="76"/>
        <v>711.95055000000002</v>
      </c>
      <c r="E210" s="2">
        <f t="shared" si="76"/>
        <v>732.81944999999996</v>
      </c>
      <c r="F210" s="2">
        <f t="shared" si="76"/>
        <v>735.86952000000008</v>
      </c>
      <c r="G210" s="2">
        <f t="shared" si="76"/>
        <v>735.94978499999991</v>
      </c>
      <c r="H210" s="2">
        <f t="shared" si="76"/>
        <v>741.32754</v>
      </c>
      <c r="I210" s="2">
        <f t="shared" si="76"/>
        <v>759.14636999999993</v>
      </c>
      <c r="J210" s="2">
        <f t="shared" si="76"/>
        <v>711.14789999999994</v>
      </c>
      <c r="K210" s="2">
        <f t="shared" si="76"/>
        <v>742.93283999999994</v>
      </c>
      <c r="L210" s="2">
        <f t="shared" si="76"/>
        <v>686.50654500000007</v>
      </c>
      <c r="M210" s="2">
        <f t="shared" si="76"/>
        <v>707.61623999999995</v>
      </c>
      <c r="N210" s="2">
        <f t="shared" si="76"/>
        <v>801.04469999999992</v>
      </c>
      <c r="O210" s="2">
        <f t="shared" si="76"/>
        <v>801.04469999999992</v>
      </c>
      <c r="P210" s="2">
        <f t="shared" si="76"/>
        <v>801.28549499999997</v>
      </c>
      <c r="Q210" s="2">
        <f t="shared" si="76"/>
        <v>737.15375999999992</v>
      </c>
      <c r="R210" s="2">
        <f t="shared" si="76"/>
        <v>745.42105500000002</v>
      </c>
      <c r="S210" s="2">
        <f t="shared" si="76"/>
        <v>780.49685999999997</v>
      </c>
      <c r="T210" s="2">
        <f t="shared" si="76"/>
        <v>779.93500499999993</v>
      </c>
      <c r="U210" s="2">
        <f t="shared" si="76"/>
        <v>749.59483499999999</v>
      </c>
      <c r="V210" s="2">
        <f t="shared" si="76"/>
        <v>737.31428999999991</v>
      </c>
      <c r="W210" s="2">
        <f t="shared" si="76"/>
        <v>752.88569999999993</v>
      </c>
      <c r="X210" s="2">
        <f t="shared" si="76"/>
        <v>776.16255000000001</v>
      </c>
      <c r="Y210" s="2">
        <f t="shared" si="76"/>
        <v>742.13018999999997</v>
      </c>
      <c r="Z210" s="2">
        <f t="shared" si="76"/>
        <v>740.92621499999996</v>
      </c>
      <c r="AA210" s="2">
        <f t="shared" si="76"/>
        <v>724.87321499999996</v>
      </c>
      <c r="AB210" s="2">
        <f t="shared" si="76"/>
        <v>741.08674499999995</v>
      </c>
      <c r="AC210" s="2">
        <f t="shared" si="76"/>
        <v>738.27746999999999</v>
      </c>
      <c r="AD210" s="2">
        <f t="shared" si="76"/>
        <v>728.32461000000001</v>
      </c>
      <c r="AE210" s="2">
        <f t="shared" si="76"/>
        <v>704.00431500000002</v>
      </c>
      <c r="AF210" s="2">
        <f t="shared" si="76"/>
        <v>722.70606000000009</v>
      </c>
      <c r="AG210" s="2">
        <f t="shared" si="76"/>
        <v>722.94685499999991</v>
      </c>
      <c r="AH210" s="2">
        <f t="shared" si="76"/>
        <v>748.87244999999996</v>
      </c>
      <c r="AI210" s="2">
        <f t="shared" si="76"/>
        <v>742.21045499999991</v>
      </c>
      <c r="AJ210" s="2">
        <f t="shared" si="76"/>
        <v>760.75166999999999</v>
      </c>
      <c r="AK210" s="2">
        <f t="shared" si="76"/>
        <v>787.56018000000006</v>
      </c>
      <c r="AL210" s="2">
        <f t="shared" si="76"/>
        <v>696.61993499999994</v>
      </c>
      <c r="AM210" s="2">
        <f t="shared" si="76"/>
        <v>800.56310999999994</v>
      </c>
      <c r="AN210" s="2">
        <f t="shared" si="76"/>
        <v>0</v>
      </c>
      <c r="AO210" s="2">
        <f t="shared" si="76"/>
        <v>781.46004000000005</v>
      </c>
      <c r="AP210" s="2">
        <f t="shared" si="76"/>
        <v>754.49099999999999</v>
      </c>
      <c r="AQ210" s="2">
        <f t="shared" si="76"/>
        <v>0</v>
      </c>
      <c r="AR210" s="2">
        <f t="shared" si="76"/>
        <v>768.537375</v>
      </c>
      <c r="AS210" s="2">
        <f t="shared" si="76"/>
        <v>747.34741499999996</v>
      </c>
    </row>
    <row r="211" spans="1:45" hidden="1" x14ac:dyDescent="0.25">
      <c r="A211" s="2" t="s">
        <v>68</v>
      </c>
      <c r="B211" s="2">
        <v>1428.74</v>
      </c>
      <c r="C211" s="2">
        <f t="shared" si="76"/>
        <v>121.157152</v>
      </c>
      <c r="D211" s="2">
        <f t="shared" si="76"/>
        <v>119.15691600000001</v>
      </c>
      <c r="E211" s="2">
        <f t="shared" si="76"/>
        <v>103.012154</v>
      </c>
      <c r="F211" s="2">
        <f t="shared" si="76"/>
        <v>113.87057799999999</v>
      </c>
      <c r="G211" s="2">
        <f t="shared" si="76"/>
        <v>115.870814</v>
      </c>
      <c r="H211" s="2">
        <f t="shared" si="76"/>
        <v>69.722511999999995</v>
      </c>
      <c r="I211" s="2">
        <f t="shared" si="76"/>
        <v>54.720742000000001</v>
      </c>
      <c r="J211" s="2">
        <f t="shared" si="76"/>
        <v>108.86998800000001</v>
      </c>
      <c r="K211" s="2">
        <f t="shared" si="76"/>
        <v>67.150779999999997</v>
      </c>
      <c r="L211" s="2">
        <f t="shared" si="76"/>
        <v>183.164468</v>
      </c>
      <c r="M211" s="2">
        <f t="shared" si="76"/>
        <v>134.15868600000002</v>
      </c>
      <c r="N211" s="2">
        <f t="shared" si="76"/>
        <v>0.85724399999999989</v>
      </c>
      <c r="O211" s="2">
        <f t="shared" si="76"/>
        <v>0.42862199999999995</v>
      </c>
      <c r="P211" s="2">
        <f t="shared" si="76"/>
        <v>0.71437000000000006</v>
      </c>
      <c r="Q211" s="2">
        <f t="shared" si="76"/>
        <v>64.007552000000004</v>
      </c>
      <c r="R211" s="2">
        <f t="shared" si="76"/>
        <v>55.435112000000004</v>
      </c>
      <c r="S211" s="2">
        <f t="shared" si="76"/>
        <v>35.147004000000003</v>
      </c>
      <c r="T211" s="2">
        <f t="shared" si="76"/>
        <v>29.717791999999999</v>
      </c>
      <c r="U211" s="2">
        <f t="shared" si="76"/>
        <v>93.153847999999996</v>
      </c>
      <c r="V211" s="2">
        <f t="shared" si="76"/>
        <v>80.866684000000006</v>
      </c>
      <c r="W211" s="2">
        <f t="shared" si="76"/>
        <v>44.290939999999999</v>
      </c>
      <c r="X211" s="2">
        <f t="shared" si="76"/>
        <v>32.718145999999997</v>
      </c>
      <c r="Y211" s="2">
        <f t="shared" si="76"/>
        <v>57.863970000000002</v>
      </c>
      <c r="Z211" s="2">
        <f t="shared" si="76"/>
        <v>57.721095999999996</v>
      </c>
      <c r="AA211" s="2">
        <f t="shared" si="76"/>
        <v>76.43759</v>
      </c>
      <c r="AB211" s="2">
        <f t="shared" si="76"/>
        <v>72.579992000000004</v>
      </c>
      <c r="AC211" s="2">
        <f t="shared" si="76"/>
        <v>79.580817999999994</v>
      </c>
      <c r="AD211" s="2">
        <f t="shared" si="76"/>
        <v>80.152314000000004</v>
      </c>
      <c r="AE211" s="2">
        <f t="shared" si="76"/>
        <v>111.727468</v>
      </c>
      <c r="AF211" s="2">
        <f t="shared" si="76"/>
        <v>130.87258399999999</v>
      </c>
      <c r="AG211" s="2">
        <f t="shared" si="76"/>
        <v>89.296250000000001</v>
      </c>
      <c r="AH211" s="2">
        <f t="shared" si="76"/>
        <v>89.296250000000001</v>
      </c>
      <c r="AI211" s="2">
        <f t="shared" si="76"/>
        <v>63.864677999999998</v>
      </c>
      <c r="AJ211" s="2">
        <f t="shared" si="76"/>
        <v>50.863143999999998</v>
      </c>
      <c r="AK211" s="2">
        <f t="shared" si="76"/>
        <v>22.002596</v>
      </c>
      <c r="AL211" s="2">
        <f t="shared" si="76"/>
        <v>154.44679400000001</v>
      </c>
      <c r="AM211" s="2">
        <f t="shared" si="76"/>
        <v>1.142992</v>
      </c>
      <c r="AN211" s="2">
        <f t="shared" si="76"/>
        <v>0</v>
      </c>
      <c r="AO211" s="2">
        <f t="shared" si="76"/>
        <v>34.718382000000005</v>
      </c>
      <c r="AP211" s="2">
        <f t="shared" si="76"/>
        <v>81.15243199999999</v>
      </c>
      <c r="AQ211" s="2">
        <f t="shared" si="76"/>
        <v>0</v>
      </c>
      <c r="AR211" s="2">
        <f t="shared" si="76"/>
        <v>56.006608</v>
      </c>
      <c r="AS211" s="2">
        <f t="shared" si="76"/>
        <v>85.724400000000003</v>
      </c>
    </row>
    <row r="212" spans="1:45" hidden="1" x14ac:dyDescent="0.25">
      <c r="A212" s="2" t="s">
        <v>69</v>
      </c>
      <c r="B212" s="2">
        <v>2043.23</v>
      </c>
      <c r="C212" s="2">
        <f t="shared" si="76"/>
        <v>25.949020999999998</v>
      </c>
      <c r="D212" s="2">
        <f t="shared" si="76"/>
        <v>34.530586999999997</v>
      </c>
      <c r="E212" s="2">
        <f t="shared" si="76"/>
        <v>16.345839999999999</v>
      </c>
      <c r="F212" s="2">
        <f t="shared" si="76"/>
        <v>0.204323</v>
      </c>
      <c r="G212" s="2">
        <f t="shared" si="76"/>
        <v>2.8605220000000005</v>
      </c>
      <c r="H212" s="2">
        <f t="shared" si="76"/>
        <v>37.391109</v>
      </c>
      <c r="I212" s="2">
        <f t="shared" si="76"/>
        <v>18.797716000000001</v>
      </c>
      <c r="J212" s="2">
        <f t="shared" si="76"/>
        <v>57.210439999999991</v>
      </c>
      <c r="K212" s="2">
        <f t="shared" si="76"/>
        <v>34.121941</v>
      </c>
      <c r="L212" s="2">
        <f t="shared" si="76"/>
        <v>29.831158000000002</v>
      </c>
      <c r="M212" s="2">
        <f t="shared" si="76"/>
        <v>40.864600000000003</v>
      </c>
      <c r="N212" s="2">
        <f t="shared" si="76"/>
        <v>0.204323</v>
      </c>
      <c r="O212" s="2">
        <f t="shared" si="76"/>
        <v>0</v>
      </c>
      <c r="P212" s="2">
        <f t="shared" si="76"/>
        <v>0</v>
      </c>
      <c r="Q212" s="2">
        <f t="shared" si="76"/>
        <v>49.037520000000001</v>
      </c>
      <c r="R212" s="2">
        <f t="shared" si="76"/>
        <v>47.402935999999997</v>
      </c>
      <c r="S212" s="2">
        <f t="shared" si="76"/>
        <v>3.2691680000000001</v>
      </c>
      <c r="T212" s="2">
        <f t="shared" si="76"/>
        <v>8.7858890000000009</v>
      </c>
      <c r="U212" s="2">
        <f t="shared" si="76"/>
        <v>1.634584</v>
      </c>
      <c r="V212" s="2">
        <f t="shared" si="76"/>
        <v>32.691679999999998</v>
      </c>
      <c r="W212" s="2">
        <f t="shared" si="76"/>
        <v>40.251630999999996</v>
      </c>
      <c r="X212" s="2">
        <f t="shared" si="76"/>
        <v>9.8075039999999998</v>
      </c>
      <c r="Y212" s="2">
        <f t="shared" si="76"/>
        <v>40.251630999999996</v>
      </c>
      <c r="Z212" s="2">
        <f t="shared" si="76"/>
        <v>47.607259000000006</v>
      </c>
      <c r="AA212" s="2">
        <f t="shared" si="76"/>
        <v>65.587682999999998</v>
      </c>
      <c r="AB212" s="2">
        <f t="shared" si="76"/>
        <v>38.821370000000002</v>
      </c>
      <c r="AC212" s="2">
        <f t="shared" si="76"/>
        <v>25.744698</v>
      </c>
      <c r="AD212" s="2">
        <f t="shared" si="76"/>
        <v>43.112152999999992</v>
      </c>
      <c r="AE212" s="2">
        <f t="shared" si="76"/>
        <v>58.640701</v>
      </c>
      <c r="AF212" s="2">
        <f t="shared" si="76"/>
        <v>2.0432299999999999</v>
      </c>
      <c r="AG212" s="2">
        <f t="shared" si="76"/>
        <v>44.133768000000003</v>
      </c>
      <c r="AH212" s="2">
        <f t="shared" si="76"/>
        <v>1.0216149999999999</v>
      </c>
      <c r="AI212" s="2">
        <f t="shared" si="76"/>
        <v>41.477568999999995</v>
      </c>
      <c r="AJ212" s="2">
        <f t="shared" si="76"/>
        <v>17.776101000000001</v>
      </c>
      <c r="AK212" s="2">
        <f t="shared" si="76"/>
        <v>5.7210440000000009</v>
      </c>
      <c r="AL212" s="2">
        <f t="shared" si="76"/>
        <v>34.939233000000002</v>
      </c>
      <c r="AM212" s="2">
        <f t="shared" si="76"/>
        <v>0.204323</v>
      </c>
      <c r="AN212" s="2">
        <f t="shared" si="76"/>
        <v>0</v>
      </c>
      <c r="AO212" s="2">
        <f t="shared" si="76"/>
        <v>2.4518759999999999</v>
      </c>
      <c r="AP212" s="2">
        <f t="shared" si="76"/>
        <v>3.6778140000000001</v>
      </c>
      <c r="AQ212" s="2">
        <f t="shared" si="76"/>
        <v>0</v>
      </c>
      <c r="AR212" s="2">
        <f t="shared" si="76"/>
        <v>4.0864599999999998</v>
      </c>
      <c r="AS212" s="2">
        <f t="shared" si="76"/>
        <v>16.141517</v>
      </c>
    </row>
    <row r="213" spans="1:45" hidden="1" x14ac:dyDescent="0.25">
      <c r="A213" s="2" t="s">
        <v>70</v>
      </c>
      <c r="B213" s="2">
        <v>2648.26</v>
      </c>
      <c r="C213" s="2">
        <f t="shared" si="76"/>
        <v>1.32413</v>
      </c>
      <c r="D213" s="2">
        <f t="shared" si="76"/>
        <v>5.2965200000000001</v>
      </c>
      <c r="E213" s="2">
        <f t="shared" si="76"/>
        <v>0.52965200000000012</v>
      </c>
      <c r="F213" s="2">
        <f t="shared" si="76"/>
        <v>0</v>
      </c>
      <c r="G213" s="2">
        <f t="shared" si="76"/>
        <v>0</v>
      </c>
      <c r="H213" s="2">
        <f t="shared" si="76"/>
        <v>9.5337360000000011</v>
      </c>
      <c r="I213" s="2">
        <f t="shared" si="76"/>
        <v>5.0316940000000008</v>
      </c>
      <c r="J213" s="2">
        <f t="shared" si="76"/>
        <v>9.5337360000000011</v>
      </c>
      <c r="K213" s="2">
        <f t="shared" si="76"/>
        <v>8.474432000000002</v>
      </c>
      <c r="L213" s="2">
        <f t="shared" si="76"/>
        <v>1.0593040000000002</v>
      </c>
      <c r="M213" s="2">
        <f t="shared" si="76"/>
        <v>4.237216000000001</v>
      </c>
      <c r="N213" s="2">
        <f t="shared" si="76"/>
        <v>0</v>
      </c>
      <c r="O213" s="2">
        <f t="shared" si="76"/>
        <v>0</v>
      </c>
      <c r="P213" s="2">
        <f t="shared" si="76"/>
        <v>0</v>
      </c>
      <c r="Q213" s="2">
        <f t="shared" si="76"/>
        <v>13.241300000000001</v>
      </c>
      <c r="R213" s="2">
        <f t="shared" si="76"/>
        <v>6.8854760000000006</v>
      </c>
      <c r="S213" s="2">
        <f t="shared" si="76"/>
        <v>1.588956</v>
      </c>
      <c r="T213" s="2">
        <f t="shared" si="76"/>
        <v>5.0316940000000008</v>
      </c>
      <c r="U213" s="2">
        <f t="shared" si="76"/>
        <v>0</v>
      </c>
      <c r="V213" s="2">
        <f t="shared" si="76"/>
        <v>11.122692000000001</v>
      </c>
      <c r="W213" s="2">
        <f t="shared" si="76"/>
        <v>12.976474000000001</v>
      </c>
      <c r="X213" s="2">
        <f t="shared" si="76"/>
        <v>2.3834340000000003</v>
      </c>
      <c r="Y213" s="2">
        <f t="shared" si="76"/>
        <v>13.770952000000001</v>
      </c>
      <c r="Z213" s="2">
        <f t="shared" si="76"/>
        <v>14.300604000000002</v>
      </c>
      <c r="AA213" s="2">
        <f t="shared" si="76"/>
        <v>15.624734</v>
      </c>
      <c r="AB213" s="2">
        <f t="shared" si="76"/>
        <v>8.7392580000000013</v>
      </c>
      <c r="AC213" s="2">
        <f t="shared" si="76"/>
        <v>3.1779120000000001</v>
      </c>
      <c r="AD213" s="2">
        <f t="shared" si="76"/>
        <v>17.213690000000003</v>
      </c>
      <c r="AE213" s="2">
        <f t="shared" si="76"/>
        <v>14.035778000000001</v>
      </c>
      <c r="AF213" s="2">
        <f t="shared" si="76"/>
        <v>0</v>
      </c>
      <c r="AG213" s="2">
        <f t="shared" si="76"/>
        <v>10.328214000000001</v>
      </c>
      <c r="AH213" s="2">
        <f t="shared" si="76"/>
        <v>0</v>
      </c>
      <c r="AI213" s="2">
        <f t="shared" si="76"/>
        <v>11.652344000000001</v>
      </c>
      <c r="AJ213" s="2">
        <f t="shared" si="76"/>
        <v>7.4151280000000019</v>
      </c>
      <c r="AK213" s="2">
        <f t="shared" si="76"/>
        <v>0.79447800000000002</v>
      </c>
      <c r="AL213" s="2">
        <f t="shared" si="76"/>
        <v>3.4427380000000003</v>
      </c>
      <c r="AM213" s="2">
        <f t="shared" si="76"/>
        <v>0</v>
      </c>
      <c r="AN213" s="2">
        <f t="shared" si="76"/>
        <v>0</v>
      </c>
      <c r="AO213" s="2">
        <f t="shared" si="76"/>
        <v>0.26482600000000006</v>
      </c>
      <c r="AP213" s="2">
        <f t="shared" si="76"/>
        <v>0.26482600000000006</v>
      </c>
      <c r="AQ213" s="2">
        <f t="shared" si="76"/>
        <v>0</v>
      </c>
      <c r="AR213" s="2">
        <f t="shared" si="76"/>
        <v>0.79447800000000002</v>
      </c>
      <c r="AS213" s="2">
        <f t="shared" si="76"/>
        <v>0.79447800000000002</v>
      </c>
    </row>
    <row r="214" spans="1:45" hidden="1" x14ac:dyDescent="0.25">
      <c r="A214" s="2" t="s">
        <v>71</v>
      </c>
      <c r="B214" s="2">
        <v>2657.45</v>
      </c>
      <c r="C214" s="2">
        <f t="shared" si="76"/>
        <v>1.06298</v>
      </c>
      <c r="D214" s="2">
        <f t="shared" si="76"/>
        <v>7.7066049999999988</v>
      </c>
      <c r="E214" s="2">
        <f t="shared" si="76"/>
        <v>0.26574500000000001</v>
      </c>
      <c r="F214" s="2">
        <f t="shared" si="76"/>
        <v>0</v>
      </c>
      <c r="G214" s="2">
        <f t="shared" si="76"/>
        <v>0</v>
      </c>
      <c r="H214" s="2">
        <f t="shared" si="76"/>
        <v>11.692779999999999</v>
      </c>
      <c r="I214" s="2">
        <f t="shared" si="76"/>
        <v>5.8463899999999995</v>
      </c>
      <c r="J214" s="2">
        <f t="shared" si="76"/>
        <v>13.818739999999998</v>
      </c>
      <c r="K214" s="2">
        <f t="shared" si="76"/>
        <v>11.161289999999999</v>
      </c>
      <c r="L214" s="2">
        <f t="shared" si="76"/>
        <v>0.79723499999999992</v>
      </c>
      <c r="M214" s="2">
        <f t="shared" si="76"/>
        <v>3.7204300000000003</v>
      </c>
      <c r="N214" s="2">
        <f t="shared" si="76"/>
        <v>0</v>
      </c>
      <c r="O214" s="2">
        <f t="shared" si="76"/>
        <v>0</v>
      </c>
      <c r="P214" s="2">
        <f t="shared" si="76"/>
        <v>0</v>
      </c>
      <c r="Q214" s="2">
        <f t="shared" si="76"/>
        <v>17.804915000000001</v>
      </c>
      <c r="R214" s="2">
        <f t="shared" si="76"/>
        <v>8.5038400000000003</v>
      </c>
      <c r="S214" s="2">
        <f t="shared" si="76"/>
        <v>0.79723499999999992</v>
      </c>
      <c r="T214" s="2">
        <f t="shared" si="76"/>
        <v>2.391705</v>
      </c>
      <c r="U214" s="2">
        <f t="shared" si="76"/>
        <v>0</v>
      </c>
      <c r="V214" s="2">
        <f t="shared" si="76"/>
        <v>10.09831</v>
      </c>
      <c r="W214" s="2">
        <f t="shared" si="76"/>
        <v>15.944699999999999</v>
      </c>
      <c r="X214" s="2">
        <f t="shared" si="76"/>
        <v>2.9231949999999998</v>
      </c>
      <c r="Y214" s="2">
        <f t="shared" si="76"/>
        <v>17.007680000000001</v>
      </c>
      <c r="Z214" s="2">
        <f t="shared" si="76"/>
        <v>14.084484999999999</v>
      </c>
      <c r="AA214" s="2">
        <f t="shared" si="76"/>
        <v>10.629799999999999</v>
      </c>
      <c r="AB214" s="2">
        <f t="shared" si="76"/>
        <v>8.5038400000000003</v>
      </c>
      <c r="AC214" s="2">
        <f t="shared" si="76"/>
        <v>7.4408600000000007</v>
      </c>
      <c r="AD214" s="2">
        <f t="shared" si="76"/>
        <v>16.210444999999996</v>
      </c>
      <c r="AE214" s="2">
        <f t="shared" si="76"/>
        <v>16.476189999999999</v>
      </c>
      <c r="AF214" s="2">
        <f t="shared" si="76"/>
        <v>0</v>
      </c>
      <c r="AG214" s="2">
        <f t="shared" si="76"/>
        <v>15.678954999999998</v>
      </c>
      <c r="AH214" s="2">
        <f t="shared" si="76"/>
        <v>0</v>
      </c>
      <c r="AI214" s="2">
        <f t="shared" si="76"/>
        <v>13.28725</v>
      </c>
      <c r="AJ214" s="2">
        <f t="shared" si="76"/>
        <v>6.3778799999999993</v>
      </c>
      <c r="AK214" s="2">
        <f t="shared" si="76"/>
        <v>0.53149000000000002</v>
      </c>
      <c r="AL214" s="2">
        <f t="shared" si="76"/>
        <v>4.517665</v>
      </c>
      <c r="AM214" s="2">
        <f t="shared" si="76"/>
        <v>0</v>
      </c>
      <c r="AN214" s="2">
        <f t="shared" si="76"/>
        <v>0</v>
      </c>
      <c r="AO214" s="2">
        <f t="shared" si="76"/>
        <v>0.26574500000000001</v>
      </c>
      <c r="AP214" s="2">
        <f t="shared" si="76"/>
        <v>0.26574500000000001</v>
      </c>
      <c r="AQ214" s="2">
        <f t="shared" si="76"/>
        <v>0</v>
      </c>
      <c r="AR214" s="2">
        <f t="shared" si="76"/>
        <v>0.79723499999999992</v>
      </c>
      <c r="AS214" s="2">
        <f t="shared" si="76"/>
        <v>1.06298</v>
      </c>
    </row>
    <row r="215" spans="1:45" hidden="1" x14ac:dyDescent="0.25">
      <c r="A215" s="2" t="s">
        <v>72</v>
      </c>
      <c r="B215" s="2">
        <v>3264.89</v>
      </c>
      <c r="C215" s="2">
        <f t="shared" si="76"/>
        <v>2.6119120000000002</v>
      </c>
      <c r="D215" s="2">
        <f t="shared" si="76"/>
        <v>0</v>
      </c>
      <c r="E215" s="2">
        <f t="shared" si="76"/>
        <v>0</v>
      </c>
      <c r="F215" s="2">
        <f t="shared" si="76"/>
        <v>0</v>
      </c>
      <c r="G215" s="2">
        <f t="shared" si="76"/>
        <v>0</v>
      </c>
      <c r="H215" s="2">
        <f t="shared" si="76"/>
        <v>0</v>
      </c>
      <c r="I215" s="2">
        <f t="shared" si="76"/>
        <v>1.3059560000000001</v>
      </c>
      <c r="J215" s="2">
        <f t="shared" si="76"/>
        <v>1.3059560000000001</v>
      </c>
      <c r="K215" s="2">
        <f t="shared" si="76"/>
        <v>2.2854230000000002</v>
      </c>
      <c r="L215" s="2">
        <f t="shared" si="76"/>
        <v>0</v>
      </c>
      <c r="M215" s="2">
        <f t="shared" si="76"/>
        <v>0.65297800000000006</v>
      </c>
      <c r="N215" s="2">
        <f t="shared" si="76"/>
        <v>0</v>
      </c>
      <c r="O215" s="2">
        <f t="shared" si="76"/>
        <v>0</v>
      </c>
      <c r="P215" s="2">
        <f t="shared" si="76"/>
        <v>0</v>
      </c>
      <c r="Q215" s="2">
        <f t="shared" si="76"/>
        <v>1.3059560000000001</v>
      </c>
      <c r="R215" s="2">
        <f t="shared" si="76"/>
        <v>1.3059560000000001</v>
      </c>
      <c r="S215" s="2">
        <f t="shared" si="76"/>
        <v>0.65297800000000006</v>
      </c>
      <c r="T215" s="2">
        <f t="shared" si="76"/>
        <v>0.97946699999999987</v>
      </c>
      <c r="U215" s="2">
        <f t="shared" si="76"/>
        <v>0</v>
      </c>
      <c r="V215" s="2">
        <f t="shared" si="76"/>
        <v>0</v>
      </c>
      <c r="W215" s="2">
        <f t="shared" si="76"/>
        <v>0.65297800000000006</v>
      </c>
      <c r="X215" s="2">
        <f t="shared" si="76"/>
        <v>0.65297800000000006</v>
      </c>
      <c r="Y215" s="2">
        <f t="shared" si="76"/>
        <v>1.9589339999999997</v>
      </c>
      <c r="Z215" s="2">
        <f t="shared" si="76"/>
        <v>0.65297800000000006</v>
      </c>
      <c r="AA215" s="2">
        <f t="shared" si="76"/>
        <v>0.65297800000000006</v>
      </c>
      <c r="AB215" s="2">
        <f t="shared" si="76"/>
        <v>0</v>
      </c>
      <c r="AC215" s="2">
        <f t="shared" si="76"/>
        <v>0.65297800000000006</v>
      </c>
      <c r="AD215" s="2">
        <f t="shared" si="76"/>
        <v>0.65297800000000006</v>
      </c>
      <c r="AE215" s="2">
        <f t="shared" si="76"/>
        <v>1.9589339999999997</v>
      </c>
      <c r="AF215" s="2">
        <f t="shared" si="76"/>
        <v>0</v>
      </c>
      <c r="AG215" s="2">
        <f t="shared" si="76"/>
        <v>0</v>
      </c>
      <c r="AH215" s="2">
        <f t="shared" si="76"/>
        <v>0</v>
      </c>
      <c r="AI215" s="2">
        <f t="shared" si="76"/>
        <v>0.65297800000000006</v>
      </c>
      <c r="AJ215" s="2">
        <f t="shared" si="76"/>
        <v>0</v>
      </c>
      <c r="AK215" s="2">
        <f t="shared" si="76"/>
        <v>0</v>
      </c>
      <c r="AL215" s="2">
        <f t="shared" si="76"/>
        <v>0</v>
      </c>
      <c r="AM215" s="2">
        <f t="shared" si="76"/>
        <v>0</v>
      </c>
      <c r="AN215" s="2">
        <f t="shared" si="76"/>
        <v>0</v>
      </c>
      <c r="AO215" s="2">
        <f t="shared" si="76"/>
        <v>0</v>
      </c>
      <c r="AP215" s="2">
        <f t="shared" si="76"/>
        <v>0</v>
      </c>
      <c r="AQ215" s="2">
        <f t="shared" ref="AQ215:AS215" si="77">AQ10/100*$B215</f>
        <v>0</v>
      </c>
      <c r="AR215" s="2">
        <f t="shared" si="77"/>
        <v>0.32648900000000003</v>
      </c>
      <c r="AS215" s="2">
        <f t="shared" si="77"/>
        <v>0</v>
      </c>
    </row>
    <row r="216" spans="1:45" hidden="1" x14ac:dyDescent="0.25">
      <c r="A216" s="2" t="s">
        <v>73</v>
      </c>
      <c r="B216" s="2">
        <v>3271.83</v>
      </c>
      <c r="C216" s="2">
        <f t="shared" ref="C216:AS220" si="78">C11/100*$B216</f>
        <v>0.98154899999999989</v>
      </c>
      <c r="D216" s="2">
        <f t="shared" si="78"/>
        <v>0</v>
      </c>
      <c r="E216" s="2">
        <f t="shared" si="78"/>
        <v>0</v>
      </c>
      <c r="F216" s="2">
        <f t="shared" si="78"/>
        <v>0</v>
      </c>
      <c r="G216" s="2">
        <f t="shared" si="78"/>
        <v>0</v>
      </c>
      <c r="H216" s="2">
        <f t="shared" si="78"/>
        <v>0</v>
      </c>
      <c r="I216" s="2">
        <f t="shared" si="78"/>
        <v>0.327183</v>
      </c>
      <c r="J216" s="2">
        <f t="shared" si="78"/>
        <v>0.327183</v>
      </c>
      <c r="K216" s="2">
        <f t="shared" si="78"/>
        <v>0.654366</v>
      </c>
      <c r="L216" s="2">
        <f t="shared" si="78"/>
        <v>0</v>
      </c>
      <c r="M216" s="2">
        <f t="shared" si="78"/>
        <v>0.327183</v>
      </c>
      <c r="N216" s="2">
        <f t="shared" si="78"/>
        <v>0</v>
      </c>
      <c r="O216" s="2">
        <f t="shared" si="78"/>
        <v>0</v>
      </c>
      <c r="P216" s="2">
        <f t="shared" si="78"/>
        <v>0</v>
      </c>
      <c r="Q216" s="2">
        <f t="shared" si="78"/>
        <v>0.654366</v>
      </c>
      <c r="R216" s="2">
        <f t="shared" si="78"/>
        <v>0.654366</v>
      </c>
      <c r="S216" s="2">
        <f t="shared" si="78"/>
        <v>0</v>
      </c>
      <c r="T216" s="2">
        <f t="shared" si="78"/>
        <v>0</v>
      </c>
      <c r="U216" s="2">
        <f t="shared" si="78"/>
        <v>0</v>
      </c>
      <c r="V216" s="2">
        <f t="shared" si="78"/>
        <v>0</v>
      </c>
      <c r="W216" s="2">
        <f t="shared" si="78"/>
        <v>0</v>
      </c>
      <c r="X216" s="2">
        <f t="shared" si="78"/>
        <v>0</v>
      </c>
      <c r="Y216" s="2">
        <f t="shared" si="78"/>
        <v>0.327183</v>
      </c>
      <c r="Z216" s="2">
        <f t="shared" si="78"/>
        <v>0</v>
      </c>
      <c r="AA216" s="2">
        <f t="shared" si="78"/>
        <v>0.327183</v>
      </c>
      <c r="AB216" s="2">
        <f t="shared" si="78"/>
        <v>0.327183</v>
      </c>
      <c r="AC216" s="2">
        <f t="shared" si="78"/>
        <v>0</v>
      </c>
      <c r="AD216" s="2">
        <f t="shared" si="78"/>
        <v>0</v>
      </c>
      <c r="AE216" s="2">
        <f t="shared" si="78"/>
        <v>0.654366</v>
      </c>
      <c r="AF216" s="2">
        <f t="shared" si="78"/>
        <v>0</v>
      </c>
      <c r="AG216" s="2">
        <f t="shared" si="78"/>
        <v>0</v>
      </c>
      <c r="AH216" s="2">
        <f t="shared" si="78"/>
        <v>0</v>
      </c>
      <c r="AI216" s="2">
        <f t="shared" si="78"/>
        <v>0</v>
      </c>
      <c r="AJ216" s="2">
        <f t="shared" si="78"/>
        <v>0</v>
      </c>
      <c r="AK216" s="2">
        <f t="shared" si="78"/>
        <v>0</v>
      </c>
      <c r="AL216" s="2">
        <f t="shared" si="78"/>
        <v>0</v>
      </c>
      <c r="AM216" s="2">
        <f t="shared" si="78"/>
        <v>0</v>
      </c>
      <c r="AN216" s="2">
        <f t="shared" si="78"/>
        <v>0</v>
      </c>
      <c r="AO216" s="2">
        <f t="shared" si="78"/>
        <v>0</v>
      </c>
      <c r="AP216" s="2">
        <f t="shared" si="78"/>
        <v>0</v>
      </c>
      <c r="AQ216" s="2">
        <f t="shared" si="78"/>
        <v>0</v>
      </c>
      <c r="AR216" s="2">
        <f t="shared" si="78"/>
        <v>0</v>
      </c>
      <c r="AS216" s="2">
        <f t="shared" si="78"/>
        <v>0</v>
      </c>
    </row>
    <row r="217" spans="1:45" hidden="1" x14ac:dyDescent="0.25">
      <c r="A217" s="2" t="s">
        <v>74</v>
      </c>
      <c r="B217" s="2">
        <v>3887.01</v>
      </c>
      <c r="C217" s="2">
        <f t="shared" si="78"/>
        <v>0</v>
      </c>
      <c r="D217" s="2">
        <f t="shared" si="78"/>
        <v>0</v>
      </c>
      <c r="E217" s="2">
        <f t="shared" si="78"/>
        <v>0</v>
      </c>
      <c r="F217" s="2">
        <f t="shared" si="78"/>
        <v>0</v>
      </c>
      <c r="G217" s="2">
        <f t="shared" si="78"/>
        <v>0</v>
      </c>
      <c r="H217" s="2">
        <f t="shared" si="78"/>
        <v>0</v>
      </c>
      <c r="I217" s="2">
        <f t="shared" si="78"/>
        <v>0</v>
      </c>
      <c r="J217" s="2">
        <f t="shared" si="78"/>
        <v>0</v>
      </c>
      <c r="K217" s="2">
        <f t="shared" si="78"/>
        <v>0</v>
      </c>
      <c r="L217" s="2">
        <f t="shared" si="78"/>
        <v>0</v>
      </c>
      <c r="M217" s="2">
        <f t="shared" si="78"/>
        <v>0</v>
      </c>
      <c r="N217" s="2">
        <f t="shared" si="78"/>
        <v>0</v>
      </c>
      <c r="O217" s="2">
        <f t="shared" si="78"/>
        <v>0</v>
      </c>
      <c r="P217" s="2">
        <f t="shared" si="78"/>
        <v>0</v>
      </c>
      <c r="Q217" s="2">
        <f t="shared" si="78"/>
        <v>0</v>
      </c>
      <c r="R217" s="2">
        <f t="shared" si="78"/>
        <v>0.38870100000000002</v>
      </c>
      <c r="S217" s="2">
        <f t="shared" si="78"/>
        <v>0</v>
      </c>
      <c r="T217" s="2">
        <f t="shared" si="78"/>
        <v>0</v>
      </c>
      <c r="U217" s="2">
        <f t="shared" si="78"/>
        <v>0</v>
      </c>
      <c r="V217" s="2">
        <f t="shared" si="78"/>
        <v>0</v>
      </c>
      <c r="W217" s="2">
        <f t="shared" si="78"/>
        <v>0</v>
      </c>
      <c r="X217" s="2">
        <f t="shared" si="78"/>
        <v>0</v>
      </c>
      <c r="Y217" s="2">
        <f t="shared" si="78"/>
        <v>0</v>
      </c>
      <c r="Z217" s="2">
        <f t="shared" si="78"/>
        <v>0</v>
      </c>
      <c r="AA217" s="2">
        <f t="shared" si="78"/>
        <v>0</v>
      </c>
      <c r="AB217" s="2">
        <f t="shared" si="78"/>
        <v>0</v>
      </c>
      <c r="AC217" s="2">
        <f t="shared" si="78"/>
        <v>0</v>
      </c>
      <c r="AD217" s="2">
        <f t="shared" si="78"/>
        <v>0</v>
      </c>
      <c r="AE217" s="2">
        <f t="shared" si="78"/>
        <v>0</v>
      </c>
      <c r="AF217" s="2">
        <f t="shared" si="78"/>
        <v>0</v>
      </c>
      <c r="AG217" s="2">
        <f t="shared" si="78"/>
        <v>0</v>
      </c>
      <c r="AH217" s="2">
        <f t="shared" si="78"/>
        <v>0</v>
      </c>
      <c r="AI217" s="2">
        <f t="shared" si="78"/>
        <v>0</v>
      </c>
      <c r="AJ217" s="2">
        <f t="shared" si="78"/>
        <v>0</v>
      </c>
      <c r="AK217" s="2">
        <f t="shared" si="78"/>
        <v>0</v>
      </c>
      <c r="AL217" s="2">
        <f t="shared" si="78"/>
        <v>0</v>
      </c>
      <c r="AM217" s="2">
        <f t="shared" si="78"/>
        <v>0</v>
      </c>
      <c r="AN217" s="2">
        <f t="shared" si="78"/>
        <v>0</v>
      </c>
      <c r="AO217" s="2">
        <f t="shared" si="78"/>
        <v>0</v>
      </c>
      <c r="AP217" s="2">
        <f t="shared" si="78"/>
        <v>0</v>
      </c>
      <c r="AQ217" s="2">
        <f t="shared" si="78"/>
        <v>0</v>
      </c>
      <c r="AR217" s="2">
        <f t="shared" si="78"/>
        <v>0</v>
      </c>
      <c r="AS217" s="2">
        <f t="shared" si="78"/>
        <v>0</v>
      </c>
    </row>
    <row r="218" spans="1:45" hidden="1" x14ac:dyDescent="0.25">
      <c r="A218" s="2" t="s">
        <v>75</v>
      </c>
      <c r="B218" s="2">
        <v>0</v>
      </c>
      <c r="C218" s="2">
        <f t="shared" si="78"/>
        <v>0</v>
      </c>
      <c r="D218" s="2">
        <f t="shared" si="78"/>
        <v>0</v>
      </c>
      <c r="E218" s="2">
        <f t="shared" si="78"/>
        <v>0</v>
      </c>
      <c r="F218" s="2">
        <f t="shared" si="78"/>
        <v>0</v>
      </c>
      <c r="G218" s="2">
        <f t="shared" si="78"/>
        <v>0</v>
      </c>
      <c r="H218" s="2">
        <f t="shared" si="78"/>
        <v>0</v>
      </c>
      <c r="I218" s="2">
        <f t="shared" si="78"/>
        <v>0</v>
      </c>
      <c r="J218" s="2">
        <f t="shared" si="78"/>
        <v>0</v>
      </c>
      <c r="K218" s="2">
        <f t="shared" si="78"/>
        <v>0</v>
      </c>
      <c r="L218" s="2">
        <f t="shared" si="78"/>
        <v>0</v>
      </c>
      <c r="M218" s="2">
        <f t="shared" si="78"/>
        <v>0</v>
      </c>
      <c r="N218" s="2">
        <f t="shared" si="78"/>
        <v>0</v>
      </c>
      <c r="O218" s="2">
        <f t="shared" si="78"/>
        <v>0</v>
      </c>
      <c r="P218" s="2">
        <f t="shared" si="78"/>
        <v>0</v>
      </c>
      <c r="Q218" s="2">
        <f t="shared" si="78"/>
        <v>0</v>
      </c>
      <c r="R218" s="2">
        <f t="shared" si="78"/>
        <v>0</v>
      </c>
      <c r="S218" s="2">
        <f t="shared" si="78"/>
        <v>0</v>
      </c>
      <c r="T218" s="2">
        <f t="shared" si="78"/>
        <v>0</v>
      </c>
      <c r="U218" s="2">
        <f t="shared" si="78"/>
        <v>0</v>
      </c>
      <c r="V218" s="2">
        <f t="shared" si="78"/>
        <v>0</v>
      </c>
      <c r="W218" s="2">
        <f t="shared" si="78"/>
        <v>0</v>
      </c>
      <c r="X218" s="2">
        <f t="shared" si="78"/>
        <v>0</v>
      </c>
      <c r="Y218" s="2">
        <f t="shared" si="78"/>
        <v>0</v>
      </c>
      <c r="Z218" s="2">
        <f t="shared" si="78"/>
        <v>0</v>
      </c>
      <c r="AA218" s="2">
        <f t="shared" si="78"/>
        <v>0</v>
      </c>
      <c r="AB218" s="2">
        <f t="shared" si="78"/>
        <v>0</v>
      </c>
      <c r="AC218" s="2">
        <f t="shared" si="78"/>
        <v>0</v>
      </c>
      <c r="AD218" s="2">
        <f t="shared" si="78"/>
        <v>0</v>
      </c>
      <c r="AE218" s="2">
        <f t="shared" si="78"/>
        <v>0</v>
      </c>
      <c r="AF218" s="2">
        <f t="shared" si="78"/>
        <v>0</v>
      </c>
      <c r="AG218" s="2">
        <f t="shared" si="78"/>
        <v>0</v>
      </c>
      <c r="AH218" s="2">
        <f t="shared" si="78"/>
        <v>0</v>
      </c>
      <c r="AI218" s="2">
        <f t="shared" si="78"/>
        <v>0</v>
      </c>
      <c r="AJ218" s="2">
        <f t="shared" si="78"/>
        <v>0</v>
      </c>
      <c r="AK218" s="2">
        <f t="shared" si="78"/>
        <v>0</v>
      </c>
      <c r="AL218" s="2">
        <f t="shared" si="78"/>
        <v>0</v>
      </c>
      <c r="AM218" s="2">
        <f t="shared" si="78"/>
        <v>0</v>
      </c>
      <c r="AN218" s="2">
        <f t="shared" si="78"/>
        <v>0</v>
      </c>
      <c r="AO218" s="2">
        <f t="shared" si="78"/>
        <v>0</v>
      </c>
      <c r="AP218" s="2">
        <f t="shared" si="78"/>
        <v>0</v>
      </c>
      <c r="AQ218" s="2">
        <f t="shared" si="78"/>
        <v>0</v>
      </c>
      <c r="AR218" s="2">
        <f t="shared" si="78"/>
        <v>0</v>
      </c>
      <c r="AS218" s="2">
        <f t="shared" si="78"/>
        <v>0</v>
      </c>
    </row>
    <row r="219" spans="1:45" hidden="1" x14ac:dyDescent="0.25">
      <c r="A219" s="2" t="s">
        <v>76</v>
      </c>
      <c r="B219" s="2">
        <v>0</v>
      </c>
      <c r="C219" s="2">
        <f t="shared" si="78"/>
        <v>0</v>
      </c>
      <c r="D219" s="2">
        <f t="shared" si="78"/>
        <v>0</v>
      </c>
      <c r="E219" s="2">
        <f t="shared" si="78"/>
        <v>0</v>
      </c>
      <c r="F219" s="2">
        <f t="shared" si="78"/>
        <v>0</v>
      </c>
      <c r="G219" s="2">
        <f t="shared" si="78"/>
        <v>0</v>
      </c>
      <c r="H219" s="2">
        <f t="shared" si="78"/>
        <v>0</v>
      </c>
      <c r="I219" s="2">
        <f t="shared" si="78"/>
        <v>0</v>
      </c>
      <c r="J219" s="2">
        <f t="shared" si="78"/>
        <v>0</v>
      </c>
      <c r="K219" s="2">
        <f t="shared" si="78"/>
        <v>0</v>
      </c>
      <c r="L219" s="2">
        <f t="shared" si="78"/>
        <v>0</v>
      </c>
      <c r="M219" s="2">
        <f t="shared" si="78"/>
        <v>0</v>
      </c>
      <c r="N219" s="2">
        <f t="shared" si="78"/>
        <v>0</v>
      </c>
      <c r="O219" s="2">
        <f t="shared" si="78"/>
        <v>0</v>
      </c>
      <c r="P219" s="2">
        <f t="shared" si="78"/>
        <v>0</v>
      </c>
      <c r="Q219" s="2">
        <f t="shared" si="78"/>
        <v>0</v>
      </c>
      <c r="R219" s="2">
        <f t="shared" si="78"/>
        <v>0</v>
      </c>
      <c r="S219" s="2">
        <f t="shared" si="78"/>
        <v>0</v>
      </c>
      <c r="T219" s="2">
        <f t="shared" si="78"/>
        <v>0</v>
      </c>
      <c r="U219" s="2">
        <f t="shared" si="78"/>
        <v>0</v>
      </c>
      <c r="V219" s="2">
        <f t="shared" si="78"/>
        <v>0</v>
      </c>
      <c r="W219" s="2">
        <f t="shared" si="78"/>
        <v>0</v>
      </c>
      <c r="X219" s="2">
        <f t="shared" si="78"/>
        <v>0</v>
      </c>
      <c r="Y219" s="2">
        <f t="shared" si="78"/>
        <v>0</v>
      </c>
      <c r="Z219" s="2">
        <f t="shared" si="78"/>
        <v>0</v>
      </c>
      <c r="AA219" s="2">
        <f t="shared" si="78"/>
        <v>0</v>
      </c>
      <c r="AB219" s="2">
        <f t="shared" si="78"/>
        <v>0</v>
      </c>
      <c r="AC219" s="2">
        <f t="shared" si="78"/>
        <v>0</v>
      </c>
      <c r="AD219" s="2">
        <f t="shared" si="78"/>
        <v>0</v>
      </c>
      <c r="AE219" s="2">
        <f t="shared" si="78"/>
        <v>0</v>
      </c>
      <c r="AF219" s="2">
        <f t="shared" si="78"/>
        <v>0</v>
      </c>
      <c r="AG219" s="2">
        <f t="shared" si="78"/>
        <v>0</v>
      </c>
      <c r="AH219" s="2">
        <f t="shared" si="78"/>
        <v>0</v>
      </c>
      <c r="AI219" s="2">
        <f t="shared" si="78"/>
        <v>0</v>
      </c>
      <c r="AJ219" s="2">
        <f t="shared" si="78"/>
        <v>0</v>
      </c>
      <c r="AK219" s="2">
        <f t="shared" si="78"/>
        <v>0</v>
      </c>
      <c r="AL219" s="2">
        <f t="shared" si="78"/>
        <v>0</v>
      </c>
      <c r="AM219" s="2">
        <f t="shared" si="78"/>
        <v>0</v>
      </c>
      <c r="AN219" s="2">
        <f t="shared" si="78"/>
        <v>0</v>
      </c>
      <c r="AO219" s="2">
        <f t="shared" si="78"/>
        <v>0</v>
      </c>
      <c r="AP219" s="2">
        <f t="shared" si="78"/>
        <v>0</v>
      </c>
      <c r="AQ219" s="2">
        <f t="shared" si="78"/>
        <v>0</v>
      </c>
      <c r="AR219" s="2">
        <f t="shared" si="78"/>
        <v>0</v>
      </c>
      <c r="AS219" s="2">
        <f t="shared" si="78"/>
        <v>0</v>
      </c>
    </row>
    <row r="220" spans="1:45" hidden="1" x14ac:dyDescent="0.25">
      <c r="A220" s="2" t="s">
        <v>77</v>
      </c>
      <c r="B220" s="2">
        <v>0</v>
      </c>
      <c r="C220" s="2">
        <f t="shared" si="78"/>
        <v>0</v>
      </c>
      <c r="D220" s="2">
        <f t="shared" si="78"/>
        <v>0</v>
      </c>
      <c r="E220" s="2">
        <f t="shared" si="78"/>
        <v>0</v>
      </c>
      <c r="F220" s="2">
        <f t="shared" si="78"/>
        <v>0</v>
      </c>
      <c r="G220" s="2">
        <f t="shared" si="78"/>
        <v>0</v>
      </c>
      <c r="H220" s="2">
        <f t="shared" si="78"/>
        <v>0</v>
      </c>
      <c r="I220" s="2">
        <f t="shared" si="78"/>
        <v>0</v>
      </c>
      <c r="J220" s="2">
        <f t="shared" si="78"/>
        <v>0</v>
      </c>
      <c r="K220" s="2">
        <f t="shared" si="78"/>
        <v>0</v>
      </c>
      <c r="L220" s="2">
        <f t="shared" si="78"/>
        <v>0</v>
      </c>
      <c r="M220" s="2">
        <f t="shared" si="78"/>
        <v>0</v>
      </c>
      <c r="N220" s="2">
        <f t="shared" si="78"/>
        <v>0</v>
      </c>
      <c r="O220" s="2">
        <f t="shared" si="78"/>
        <v>0</v>
      </c>
      <c r="P220" s="2">
        <f t="shared" si="78"/>
        <v>0</v>
      </c>
      <c r="Q220" s="2">
        <f t="shared" si="78"/>
        <v>0</v>
      </c>
      <c r="R220" s="2">
        <f t="shared" si="78"/>
        <v>0</v>
      </c>
      <c r="S220" s="2">
        <f t="shared" si="78"/>
        <v>0</v>
      </c>
      <c r="T220" s="2">
        <f t="shared" si="78"/>
        <v>0</v>
      </c>
      <c r="U220" s="2">
        <f t="shared" si="78"/>
        <v>0</v>
      </c>
      <c r="V220" s="2">
        <f t="shared" si="78"/>
        <v>0</v>
      </c>
      <c r="W220" s="2">
        <f t="shared" si="78"/>
        <v>0</v>
      </c>
      <c r="X220" s="2">
        <f t="shared" si="78"/>
        <v>0</v>
      </c>
      <c r="Y220" s="2">
        <f t="shared" si="78"/>
        <v>0</v>
      </c>
      <c r="Z220" s="2">
        <f t="shared" si="78"/>
        <v>0</v>
      </c>
      <c r="AA220" s="2">
        <f t="shared" si="78"/>
        <v>0</v>
      </c>
      <c r="AB220" s="2">
        <f t="shared" si="78"/>
        <v>0</v>
      </c>
      <c r="AC220" s="2">
        <f t="shared" si="78"/>
        <v>0</v>
      </c>
      <c r="AD220" s="2">
        <f t="shared" si="78"/>
        <v>0</v>
      </c>
      <c r="AE220" s="2">
        <f t="shared" si="78"/>
        <v>0</v>
      </c>
      <c r="AF220" s="2">
        <f t="shared" si="78"/>
        <v>0</v>
      </c>
      <c r="AG220" s="2">
        <f t="shared" si="78"/>
        <v>0</v>
      </c>
      <c r="AH220" s="2">
        <f t="shared" si="78"/>
        <v>0</v>
      </c>
      <c r="AI220" s="2">
        <f t="shared" si="78"/>
        <v>0</v>
      </c>
      <c r="AJ220" s="2">
        <f t="shared" si="78"/>
        <v>0</v>
      </c>
      <c r="AK220" s="2">
        <f t="shared" si="78"/>
        <v>0</v>
      </c>
      <c r="AL220" s="2">
        <f t="shared" si="78"/>
        <v>0</v>
      </c>
      <c r="AM220" s="2">
        <f t="shared" si="78"/>
        <v>0</v>
      </c>
      <c r="AN220" s="2">
        <f t="shared" si="78"/>
        <v>0</v>
      </c>
      <c r="AO220" s="2">
        <f t="shared" si="78"/>
        <v>0</v>
      </c>
      <c r="AP220" s="2">
        <f t="shared" si="78"/>
        <v>0</v>
      </c>
      <c r="AQ220" s="2">
        <f t="shared" si="78"/>
        <v>0</v>
      </c>
      <c r="AR220" s="2">
        <f t="shared" si="78"/>
        <v>0</v>
      </c>
      <c r="AS220" s="2">
        <f t="shared" si="78"/>
        <v>0</v>
      </c>
    </row>
    <row r="221" spans="1:45" hidden="1" x14ac:dyDescent="0.25">
      <c r="A221" s="2" t="s">
        <v>78</v>
      </c>
      <c r="C221" s="2">
        <f>SUM(C210:C220)</f>
        <v>872.74273399999993</v>
      </c>
      <c r="D221" s="2">
        <f t="shared" ref="D221:AS221" si="79">SUM(D210:D220)</f>
        <v>878.64117799999997</v>
      </c>
      <c r="E221" s="2">
        <f>SUM(E210:E220)</f>
        <v>852.97284100000002</v>
      </c>
      <c r="F221" s="2">
        <f>SUM(F210:F220)</f>
        <v>849.94442100000015</v>
      </c>
      <c r="G221" s="2">
        <f t="shared" si="79"/>
        <v>854.68112099999985</v>
      </c>
      <c r="H221" s="2">
        <f>SUM(H210:H220)</f>
        <v>869.66767700000003</v>
      </c>
      <c r="I221" s="2">
        <f>SUM(I210:I220)</f>
        <v>845.17605100000003</v>
      </c>
      <c r="J221" s="2">
        <f>SUM(J210:J220)</f>
        <v>902.21394299999997</v>
      </c>
      <c r="K221" s="2">
        <f t="shared" si="79"/>
        <v>866.78107199999988</v>
      </c>
      <c r="L221" s="2">
        <f>SUM(L210:L220)</f>
        <v>901.35871000000009</v>
      </c>
      <c r="M221" s="2">
        <f>SUM(M210:M220)</f>
        <v>891.57733299999984</v>
      </c>
      <c r="N221" s="2">
        <f t="shared" si="79"/>
        <v>802.106267</v>
      </c>
      <c r="O221" s="2">
        <f t="shared" si="79"/>
        <v>801.47332199999994</v>
      </c>
      <c r="P221" s="2">
        <f t="shared" si="79"/>
        <v>801.999865</v>
      </c>
      <c r="Q221" s="2">
        <f t="shared" si="79"/>
        <v>883.20536900000002</v>
      </c>
      <c r="R221" s="2">
        <f>SUM(R210:R220)</f>
        <v>865.99744199999998</v>
      </c>
      <c r="S221" s="2">
        <f>SUM(S210:S220)</f>
        <v>821.95220100000006</v>
      </c>
      <c r="T221" s="2">
        <f t="shared" si="79"/>
        <v>826.84155199999998</v>
      </c>
      <c r="U221" s="2">
        <f t="shared" si="79"/>
        <v>844.38326700000005</v>
      </c>
      <c r="V221" s="2">
        <f>SUM(V210:V220)</f>
        <v>872.0936559999999</v>
      </c>
      <c r="W221" s="2">
        <f t="shared" si="79"/>
        <v>867.00242299999991</v>
      </c>
      <c r="X221" s="2">
        <f t="shared" si="79"/>
        <v>824.64780699999994</v>
      </c>
      <c r="Y221" s="2">
        <f t="shared" si="79"/>
        <v>873.31053999999995</v>
      </c>
      <c r="Z221" s="2">
        <f t="shared" si="79"/>
        <v>875.2926369999999</v>
      </c>
      <c r="AA221" s="2">
        <f>SUM(AA210:AA220)</f>
        <v>894.13318299999992</v>
      </c>
      <c r="AB221" s="2">
        <f t="shared" si="79"/>
        <v>870.05838799999992</v>
      </c>
      <c r="AC221" s="2">
        <f t="shared" si="79"/>
        <v>854.87473599999998</v>
      </c>
      <c r="AD221" s="2">
        <f t="shared" si="79"/>
        <v>885.66619000000014</v>
      </c>
      <c r="AE221" s="2">
        <f t="shared" si="79"/>
        <v>907.4977520000001</v>
      </c>
      <c r="AF221" s="2">
        <f t="shared" si="79"/>
        <v>855.62187400000005</v>
      </c>
      <c r="AG221" s="2">
        <f t="shared" si="79"/>
        <v>882.38404199999991</v>
      </c>
      <c r="AH221" s="2">
        <f t="shared" si="79"/>
        <v>839.19031499999994</v>
      </c>
      <c r="AI221" s="2">
        <f t="shared" si="79"/>
        <v>873.14527399999986</v>
      </c>
      <c r="AJ221" s="2">
        <f>SUM(AJ210:AJ220)</f>
        <v>843.18392300000005</v>
      </c>
      <c r="AK221" s="2">
        <f t="shared" si="79"/>
        <v>816.60978800000009</v>
      </c>
      <c r="AL221" s="2">
        <f t="shared" si="79"/>
        <v>893.96636499999988</v>
      </c>
      <c r="AM221" s="2">
        <f t="shared" si="79"/>
        <v>801.91042500000003</v>
      </c>
      <c r="AN221" s="2">
        <f t="shared" si="79"/>
        <v>0</v>
      </c>
      <c r="AO221" s="2">
        <f t="shared" si="79"/>
        <v>819.16086900000005</v>
      </c>
      <c r="AP221" s="2">
        <f t="shared" si="79"/>
        <v>839.85181699999998</v>
      </c>
      <c r="AQ221" s="2">
        <f t="shared" si="79"/>
        <v>0</v>
      </c>
      <c r="AR221" s="2">
        <f t="shared" si="79"/>
        <v>830.54864500000008</v>
      </c>
      <c r="AS221" s="2">
        <f t="shared" si="79"/>
        <v>851.0707900000001</v>
      </c>
    </row>
    <row r="222" spans="1:45" hidden="1" x14ac:dyDescent="0.25"/>
    <row r="223" spans="1:45" hidden="1" x14ac:dyDescent="0.25">
      <c r="A223" s="53" t="s">
        <v>110</v>
      </c>
    </row>
    <row r="224" spans="1:45" hidden="1" x14ac:dyDescent="0.25">
      <c r="A224" s="2" t="s">
        <v>67</v>
      </c>
      <c r="B224" s="2">
        <v>890.63</v>
      </c>
      <c r="C224" s="2">
        <f t="shared" ref="C224:AS229" si="80">C5/100*$B224</f>
        <v>798.538858</v>
      </c>
      <c r="D224" s="2">
        <f t="shared" si="80"/>
        <v>789.98881000000006</v>
      </c>
      <c r="E224" s="2">
        <f t="shared" si="80"/>
        <v>813.14518999999996</v>
      </c>
      <c r="F224" s="2">
        <f t="shared" si="80"/>
        <v>816.529584</v>
      </c>
      <c r="G224" s="2">
        <f t="shared" si="80"/>
        <v>816.6186469999999</v>
      </c>
      <c r="H224" s="2">
        <f t="shared" si="80"/>
        <v>822.585868</v>
      </c>
      <c r="I224" s="2">
        <f t="shared" si="80"/>
        <v>842.35785399999997</v>
      </c>
      <c r="J224" s="2">
        <f t="shared" si="80"/>
        <v>789.09817999999996</v>
      </c>
      <c r="K224" s="2">
        <f t="shared" si="80"/>
        <v>824.36712799999998</v>
      </c>
      <c r="L224" s="2">
        <f t="shared" si="80"/>
        <v>761.75583900000004</v>
      </c>
      <c r="M224" s="2">
        <f t="shared" si="80"/>
        <v>785.17940799999997</v>
      </c>
      <c r="N224" s="2">
        <f t="shared" si="80"/>
        <v>888.84874000000002</v>
      </c>
      <c r="O224" s="2">
        <f t="shared" si="80"/>
        <v>888.84874000000002</v>
      </c>
      <c r="P224" s="2">
        <f t="shared" si="80"/>
        <v>889.11592899999994</v>
      </c>
      <c r="Q224" s="2">
        <f t="shared" si="80"/>
        <v>817.95459199999993</v>
      </c>
      <c r="R224" s="2">
        <f t="shared" si="80"/>
        <v>827.12808100000007</v>
      </c>
      <c r="S224" s="2">
        <f t="shared" si="80"/>
        <v>866.04861199999993</v>
      </c>
      <c r="T224" s="2">
        <f t="shared" si="80"/>
        <v>865.42517099999998</v>
      </c>
      <c r="U224" s="2">
        <f t="shared" si="80"/>
        <v>831.75935699999991</v>
      </c>
      <c r="V224" s="2">
        <f t="shared" si="80"/>
        <v>818.13271799999995</v>
      </c>
      <c r="W224" s="2">
        <f t="shared" si="80"/>
        <v>835.41093999999998</v>
      </c>
      <c r="X224" s="2">
        <f t="shared" si="80"/>
        <v>861.23921000000007</v>
      </c>
      <c r="Y224" s="2">
        <f t="shared" si="80"/>
        <v>823.47649799999999</v>
      </c>
      <c r="Z224" s="2">
        <f t="shared" si="80"/>
        <v>822.14055300000007</v>
      </c>
      <c r="AA224" s="2">
        <f t="shared" si="80"/>
        <v>804.32795299999998</v>
      </c>
      <c r="AB224" s="2">
        <f t="shared" si="80"/>
        <v>822.31867899999997</v>
      </c>
      <c r="AC224" s="2">
        <f t="shared" si="80"/>
        <v>819.20147400000008</v>
      </c>
      <c r="AD224" s="2">
        <f t="shared" si="80"/>
        <v>808.15766199999996</v>
      </c>
      <c r="AE224" s="2">
        <f t="shared" si="80"/>
        <v>781.17157300000008</v>
      </c>
      <c r="AF224" s="2">
        <f t="shared" si="80"/>
        <v>801.92325200000005</v>
      </c>
      <c r="AG224" s="2">
        <f t="shared" si="80"/>
        <v>802.19044099999996</v>
      </c>
      <c r="AH224" s="2">
        <f t="shared" si="80"/>
        <v>830.95778999999993</v>
      </c>
      <c r="AI224" s="2">
        <f t="shared" si="80"/>
        <v>823.565561</v>
      </c>
      <c r="AJ224" s="2">
        <f t="shared" si="80"/>
        <v>844.13911399999995</v>
      </c>
      <c r="AK224" s="2">
        <f t="shared" si="80"/>
        <v>873.88615600000003</v>
      </c>
      <c r="AL224" s="2">
        <f t="shared" si="80"/>
        <v>772.97777699999995</v>
      </c>
      <c r="AM224" s="2">
        <f t="shared" si="80"/>
        <v>888.31436199999996</v>
      </c>
      <c r="AN224" s="2">
        <f t="shared" si="80"/>
        <v>0</v>
      </c>
      <c r="AO224" s="2">
        <f t="shared" si="80"/>
        <v>867.11736800000006</v>
      </c>
      <c r="AP224" s="2">
        <f t="shared" si="80"/>
        <v>837.19219999999996</v>
      </c>
      <c r="AQ224" s="2">
        <f t="shared" si="80"/>
        <v>0</v>
      </c>
      <c r="AR224" s="2">
        <f t="shared" si="80"/>
        <v>852.77822500000002</v>
      </c>
      <c r="AS224" s="2">
        <f t="shared" si="80"/>
        <v>829.26559300000008</v>
      </c>
    </row>
    <row r="225" spans="1:45" hidden="1" x14ac:dyDescent="0.25">
      <c r="A225" s="2" t="s">
        <v>68</v>
      </c>
      <c r="B225" s="2">
        <v>1560.69</v>
      </c>
      <c r="C225" s="2">
        <f t="shared" si="80"/>
        <v>132.34651200000002</v>
      </c>
      <c r="D225" s="2">
        <f t="shared" si="80"/>
        <v>130.16154600000002</v>
      </c>
      <c r="E225" s="2">
        <f t="shared" si="80"/>
        <v>112.525749</v>
      </c>
      <c r="F225" s="2">
        <f t="shared" si="80"/>
        <v>124.38699299999999</v>
      </c>
      <c r="G225" s="2">
        <f t="shared" si="80"/>
        <v>126.57195899999999</v>
      </c>
      <c r="H225" s="2">
        <f t="shared" si="80"/>
        <v>76.161671999999996</v>
      </c>
      <c r="I225" s="2">
        <f t="shared" si="80"/>
        <v>59.774427000000003</v>
      </c>
      <c r="J225" s="2">
        <f t="shared" si="80"/>
        <v>118.92457800000001</v>
      </c>
      <c r="K225" s="2">
        <f t="shared" si="80"/>
        <v>73.352429999999998</v>
      </c>
      <c r="L225" s="2">
        <f t="shared" si="80"/>
        <v>200.08045800000002</v>
      </c>
      <c r="M225" s="2">
        <f t="shared" si="80"/>
        <v>146.54879100000002</v>
      </c>
      <c r="N225" s="2">
        <f t="shared" si="80"/>
        <v>0.93641399999999997</v>
      </c>
      <c r="O225" s="2">
        <f t="shared" si="80"/>
        <v>0.46820699999999998</v>
      </c>
      <c r="P225" s="2">
        <f t="shared" si="80"/>
        <v>0.78034500000000007</v>
      </c>
      <c r="Q225" s="2">
        <f t="shared" si="80"/>
        <v>69.918912000000006</v>
      </c>
      <c r="R225" s="2">
        <f t="shared" si="80"/>
        <v>60.554772000000007</v>
      </c>
      <c r="S225" s="2">
        <f t="shared" si="80"/>
        <v>38.392974000000002</v>
      </c>
      <c r="T225" s="2">
        <f t="shared" si="80"/>
        <v>32.462352000000003</v>
      </c>
      <c r="U225" s="2">
        <f t="shared" si="80"/>
        <v>101.75698799999999</v>
      </c>
      <c r="V225" s="2">
        <f t="shared" si="80"/>
        <v>88.335054000000014</v>
      </c>
      <c r="W225" s="2">
        <f t="shared" si="80"/>
        <v>48.381390000000003</v>
      </c>
      <c r="X225" s="2">
        <f t="shared" si="80"/>
        <v>35.739801</v>
      </c>
      <c r="Y225" s="2">
        <f t="shared" si="80"/>
        <v>63.207945000000002</v>
      </c>
      <c r="Z225" s="2">
        <f t="shared" si="80"/>
        <v>63.051876</v>
      </c>
      <c r="AA225" s="2">
        <f t="shared" si="80"/>
        <v>83.496915000000001</v>
      </c>
      <c r="AB225" s="2">
        <f t="shared" si="80"/>
        <v>79.283051999999998</v>
      </c>
      <c r="AC225" s="2">
        <f t="shared" si="80"/>
        <v>86.930433000000008</v>
      </c>
      <c r="AD225" s="2">
        <f t="shared" si="80"/>
        <v>87.554709000000003</v>
      </c>
      <c r="AE225" s="2">
        <f t="shared" si="80"/>
        <v>122.04595800000001</v>
      </c>
      <c r="AF225" s="2">
        <f t="shared" si="80"/>
        <v>142.959204</v>
      </c>
      <c r="AG225" s="2">
        <f t="shared" si="80"/>
        <v>97.543125000000003</v>
      </c>
      <c r="AH225" s="2">
        <f t="shared" si="80"/>
        <v>97.543125000000003</v>
      </c>
      <c r="AI225" s="2">
        <f t="shared" si="80"/>
        <v>69.762843000000004</v>
      </c>
      <c r="AJ225" s="2">
        <f t="shared" si="80"/>
        <v>55.560563999999999</v>
      </c>
      <c r="AK225" s="2">
        <f t="shared" si="80"/>
        <v>24.034626000000003</v>
      </c>
      <c r="AL225" s="2">
        <f t="shared" si="80"/>
        <v>168.710589</v>
      </c>
      <c r="AM225" s="2">
        <f t="shared" si="80"/>
        <v>1.2485520000000001</v>
      </c>
      <c r="AN225" s="2">
        <f t="shared" si="80"/>
        <v>0</v>
      </c>
      <c r="AO225" s="2">
        <f t="shared" si="80"/>
        <v>37.924767000000003</v>
      </c>
      <c r="AP225" s="2">
        <f t="shared" si="80"/>
        <v>88.647192000000004</v>
      </c>
      <c r="AQ225" s="2">
        <f t="shared" si="80"/>
        <v>0</v>
      </c>
      <c r="AR225" s="2">
        <f t="shared" si="80"/>
        <v>61.179048000000002</v>
      </c>
      <c r="AS225" s="2">
        <f t="shared" si="80"/>
        <v>93.641400000000004</v>
      </c>
    </row>
    <row r="226" spans="1:45" hidden="1" x14ac:dyDescent="0.25">
      <c r="A226" s="2" t="s">
        <v>69</v>
      </c>
      <c r="B226" s="2">
        <v>2219.17</v>
      </c>
      <c r="C226" s="2">
        <f t="shared" si="80"/>
        <v>28.183458999999999</v>
      </c>
      <c r="D226" s="2">
        <f t="shared" si="80"/>
        <v>37.503972999999995</v>
      </c>
      <c r="E226" s="2">
        <f t="shared" si="80"/>
        <v>17.753360000000001</v>
      </c>
      <c r="F226" s="2">
        <f t="shared" si="80"/>
        <v>0.22191700000000003</v>
      </c>
      <c r="G226" s="2">
        <f t="shared" si="80"/>
        <v>3.1068380000000007</v>
      </c>
      <c r="H226" s="2">
        <f t="shared" si="80"/>
        <v>40.610811000000005</v>
      </c>
      <c r="I226" s="2">
        <f t="shared" si="80"/>
        <v>20.416364000000002</v>
      </c>
      <c r="J226" s="2">
        <f t="shared" si="80"/>
        <v>62.136759999999995</v>
      </c>
      <c r="K226" s="2">
        <f t="shared" si="80"/>
        <v>37.060138999999999</v>
      </c>
      <c r="L226" s="2">
        <f t="shared" si="80"/>
        <v>32.399881999999998</v>
      </c>
      <c r="M226" s="2">
        <f t="shared" si="80"/>
        <v>44.383400000000002</v>
      </c>
      <c r="N226" s="2">
        <f t="shared" si="80"/>
        <v>0.22191700000000003</v>
      </c>
      <c r="O226" s="2">
        <f t="shared" si="80"/>
        <v>0</v>
      </c>
      <c r="P226" s="2">
        <f t="shared" si="80"/>
        <v>0</v>
      </c>
      <c r="Q226" s="2">
        <f t="shared" si="80"/>
        <v>53.260080000000002</v>
      </c>
      <c r="R226" s="2">
        <f t="shared" si="80"/>
        <v>51.484743999999999</v>
      </c>
      <c r="S226" s="2">
        <f t="shared" si="80"/>
        <v>3.5506720000000005</v>
      </c>
      <c r="T226" s="2">
        <f t="shared" si="80"/>
        <v>9.5424310000000006</v>
      </c>
      <c r="U226" s="2">
        <f t="shared" si="80"/>
        <v>1.7753360000000002</v>
      </c>
      <c r="V226" s="2">
        <f t="shared" si="80"/>
        <v>35.506720000000001</v>
      </c>
      <c r="W226" s="2">
        <f t="shared" si="80"/>
        <v>43.717649000000002</v>
      </c>
      <c r="X226" s="2">
        <f t="shared" si="80"/>
        <v>10.652016</v>
      </c>
      <c r="Y226" s="2">
        <f t="shared" si="80"/>
        <v>43.717649000000002</v>
      </c>
      <c r="Z226" s="2">
        <f t="shared" si="80"/>
        <v>51.706661000000004</v>
      </c>
      <c r="AA226" s="2">
        <f t="shared" si="80"/>
        <v>71.235356999999993</v>
      </c>
      <c r="AB226" s="2">
        <f t="shared" si="80"/>
        <v>42.164230000000003</v>
      </c>
      <c r="AC226" s="2">
        <f t="shared" si="80"/>
        <v>27.961542000000001</v>
      </c>
      <c r="AD226" s="2">
        <f t="shared" si="80"/>
        <v>46.824486999999998</v>
      </c>
      <c r="AE226" s="2">
        <f t="shared" si="80"/>
        <v>63.690179000000001</v>
      </c>
      <c r="AF226" s="2">
        <f t="shared" si="80"/>
        <v>2.2191700000000001</v>
      </c>
      <c r="AG226" s="2">
        <f t="shared" si="80"/>
        <v>47.934072000000008</v>
      </c>
      <c r="AH226" s="2">
        <f t="shared" si="80"/>
        <v>1.109585</v>
      </c>
      <c r="AI226" s="2">
        <f t="shared" si="80"/>
        <v>45.049150999999995</v>
      </c>
      <c r="AJ226" s="2">
        <f t="shared" si="80"/>
        <v>19.306778999999999</v>
      </c>
      <c r="AK226" s="2">
        <f t="shared" si="80"/>
        <v>6.2136760000000013</v>
      </c>
      <c r="AL226" s="2">
        <f t="shared" si="80"/>
        <v>37.947807000000005</v>
      </c>
      <c r="AM226" s="2">
        <f t="shared" si="80"/>
        <v>0.22191700000000003</v>
      </c>
      <c r="AN226" s="2">
        <f t="shared" si="80"/>
        <v>0</v>
      </c>
      <c r="AO226" s="2">
        <f t="shared" si="80"/>
        <v>2.6630039999999999</v>
      </c>
      <c r="AP226" s="2">
        <f t="shared" si="80"/>
        <v>3.9945059999999999</v>
      </c>
      <c r="AQ226" s="2">
        <f t="shared" si="80"/>
        <v>0</v>
      </c>
      <c r="AR226" s="2">
        <f t="shared" si="80"/>
        <v>4.4383400000000002</v>
      </c>
      <c r="AS226" s="2">
        <f t="shared" si="80"/>
        <v>17.531443000000003</v>
      </c>
    </row>
    <row r="227" spans="1:45" hidden="1" x14ac:dyDescent="0.25">
      <c r="A227" s="2" t="s">
        <v>70</v>
      </c>
      <c r="B227" s="2">
        <v>2868.2</v>
      </c>
      <c r="C227" s="2">
        <f t="shared" si="80"/>
        <v>1.4340999999999999</v>
      </c>
      <c r="D227" s="2">
        <f t="shared" si="80"/>
        <v>5.7363999999999997</v>
      </c>
      <c r="E227" s="2">
        <f t="shared" si="80"/>
        <v>0.57364000000000004</v>
      </c>
      <c r="F227" s="2">
        <f t="shared" si="80"/>
        <v>0</v>
      </c>
      <c r="G227" s="2">
        <f t="shared" si="80"/>
        <v>0</v>
      </c>
      <c r="H227" s="2">
        <f t="shared" si="80"/>
        <v>10.325519999999999</v>
      </c>
      <c r="I227" s="2">
        <f t="shared" si="80"/>
        <v>5.4495799999999992</v>
      </c>
      <c r="J227" s="2">
        <f t="shared" si="80"/>
        <v>10.325519999999999</v>
      </c>
      <c r="K227" s="2">
        <f t="shared" si="80"/>
        <v>9.1782400000000006</v>
      </c>
      <c r="L227" s="2">
        <f t="shared" si="80"/>
        <v>1.1472800000000001</v>
      </c>
      <c r="M227" s="2">
        <f t="shared" si="80"/>
        <v>4.5891200000000003</v>
      </c>
      <c r="N227" s="2">
        <f t="shared" si="80"/>
        <v>0</v>
      </c>
      <c r="O227" s="2">
        <f t="shared" si="80"/>
        <v>0</v>
      </c>
      <c r="P227" s="2">
        <f t="shared" si="80"/>
        <v>0</v>
      </c>
      <c r="Q227" s="2">
        <f t="shared" si="80"/>
        <v>14.340999999999999</v>
      </c>
      <c r="R227" s="2">
        <f t="shared" si="80"/>
        <v>7.4573199999999993</v>
      </c>
      <c r="S227" s="2">
        <f t="shared" si="80"/>
        <v>1.7209199999999998</v>
      </c>
      <c r="T227" s="2">
        <f t="shared" si="80"/>
        <v>5.4495799999999992</v>
      </c>
      <c r="U227" s="2">
        <f t="shared" si="80"/>
        <v>0</v>
      </c>
      <c r="V227" s="2">
        <f t="shared" si="80"/>
        <v>12.046439999999999</v>
      </c>
      <c r="W227" s="2">
        <f t="shared" si="80"/>
        <v>14.054179999999999</v>
      </c>
      <c r="X227" s="2">
        <f t="shared" si="80"/>
        <v>2.5813799999999998</v>
      </c>
      <c r="Y227" s="2">
        <f t="shared" si="80"/>
        <v>14.914639999999999</v>
      </c>
      <c r="Z227" s="2">
        <f t="shared" si="80"/>
        <v>15.48828</v>
      </c>
      <c r="AA227" s="2">
        <f t="shared" si="80"/>
        <v>16.922379999999997</v>
      </c>
      <c r="AB227" s="2">
        <f t="shared" si="80"/>
        <v>9.4650599999999994</v>
      </c>
      <c r="AC227" s="2">
        <f t="shared" si="80"/>
        <v>3.4418399999999996</v>
      </c>
      <c r="AD227" s="2">
        <f t="shared" si="80"/>
        <v>18.6433</v>
      </c>
      <c r="AE227" s="2">
        <f t="shared" si="80"/>
        <v>15.201459999999999</v>
      </c>
      <c r="AF227" s="2">
        <f t="shared" si="80"/>
        <v>0</v>
      </c>
      <c r="AG227" s="2">
        <f t="shared" si="80"/>
        <v>11.185980000000001</v>
      </c>
      <c r="AH227" s="2">
        <f t="shared" si="80"/>
        <v>0</v>
      </c>
      <c r="AI227" s="2">
        <f t="shared" si="80"/>
        <v>12.62008</v>
      </c>
      <c r="AJ227" s="2">
        <f t="shared" si="80"/>
        <v>8.0309600000000003</v>
      </c>
      <c r="AK227" s="2">
        <f t="shared" si="80"/>
        <v>0.86045999999999989</v>
      </c>
      <c r="AL227" s="2">
        <f t="shared" si="80"/>
        <v>3.7286599999999996</v>
      </c>
      <c r="AM227" s="2">
        <f t="shared" si="80"/>
        <v>0</v>
      </c>
      <c r="AN227" s="2">
        <f t="shared" si="80"/>
        <v>0</v>
      </c>
      <c r="AO227" s="2">
        <f t="shared" si="80"/>
        <v>0.28682000000000002</v>
      </c>
      <c r="AP227" s="2">
        <f t="shared" si="80"/>
        <v>0.28682000000000002</v>
      </c>
      <c r="AQ227" s="2">
        <f t="shared" si="80"/>
        <v>0</v>
      </c>
      <c r="AR227" s="2">
        <f t="shared" si="80"/>
        <v>0.86045999999999989</v>
      </c>
      <c r="AS227" s="2">
        <f t="shared" si="80"/>
        <v>0.86045999999999989</v>
      </c>
    </row>
    <row r="228" spans="1:45" hidden="1" x14ac:dyDescent="0.25">
      <c r="A228" s="2" t="s">
        <v>71</v>
      </c>
      <c r="B228" s="2">
        <v>2877.4</v>
      </c>
      <c r="C228" s="2">
        <f t="shared" si="80"/>
        <v>1.15096</v>
      </c>
      <c r="D228" s="2">
        <f t="shared" si="80"/>
        <v>8.3444599999999998</v>
      </c>
      <c r="E228" s="2">
        <f t="shared" si="80"/>
        <v>0.28774</v>
      </c>
      <c r="F228" s="2">
        <f t="shared" si="80"/>
        <v>0</v>
      </c>
      <c r="G228" s="2">
        <f t="shared" si="80"/>
        <v>0</v>
      </c>
      <c r="H228" s="2">
        <f t="shared" si="80"/>
        <v>12.660560000000002</v>
      </c>
      <c r="I228" s="2">
        <f t="shared" si="80"/>
        <v>6.330280000000001</v>
      </c>
      <c r="J228" s="2">
        <f t="shared" si="80"/>
        <v>14.962479999999999</v>
      </c>
      <c r="K228" s="2">
        <f t="shared" si="80"/>
        <v>12.08508</v>
      </c>
      <c r="L228" s="2">
        <f t="shared" si="80"/>
        <v>0.86321999999999999</v>
      </c>
      <c r="M228" s="2">
        <f t="shared" si="80"/>
        <v>4.0283600000000011</v>
      </c>
      <c r="N228" s="2">
        <f t="shared" si="80"/>
        <v>0</v>
      </c>
      <c r="O228" s="2">
        <f t="shared" si="80"/>
        <v>0</v>
      </c>
      <c r="P228" s="2">
        <f t="shared" si="80"/>
        <v>0</v>
      </c>
      <c r="Q228" s="2">
        <f t="shared" si="80"/>
        <v>19.278580000000002</v>
      </c>
      <c r="R228" s="2">
        <f t="shared" si="80"/>
        <v>9.2076799999999999</v>
      </c>
      <c r="S228" s="2">
        <f t="shared" si="80"/>
        <v>0.86321999999999999</v>
      </c>
      <c r="T228" s="2">
        <f t="shared" si="80"/>
        <v>2.5896599999999999</v>
      </c>
      <c r="U228" s="2">
        <f t="shared" si="80"/>
        <v>0</v>
      </c>
      <c r="V228" s="2">
        <f t="shared" si="80"/>
        <v>10.93412</v>
      </c>
      <c r="W228" s="2">
        <f t="shared" si="80"/>
        <v>17.264400000000002</v>
      </c>
      <c r="X228" s="2">
        <f t="shared" si="80"/>
        <v>3.1651400000000005</v>
      </c>
      <c r="Y228" s="2">
        <f t="shared" si="80"/>
        <v>18.41536</v>
      </c>
      <c r="Z228" s="2">
        <f t="shared" si="80"/>
        <v>15.250220000000001</v>
      </c>
      <c r="AA228" s="2">
        <f t="shared" si="80"/>
        <v>11.509600000000001</v>
      </c>
      <c r="AB228" s="2">
        <f t="shared" si="80"/>
        <v>9.2076799999999999</v>
      </c>
      <c r="AC228" s="2">
        <f t="shared" si="80"/>
        <v>8.0567200000000021</v>
      </c>
      <c r="AD228" s="2">
        <f t="shared" si="80"/>
        <v>17.552139999999998</v>
      </c>
      <c r="AE228" s="2">
        <f t="shared" si="80"/>
        <v>17.839880000000001</v>
      </c>
      <c r="AF228" s="2">
        <f t="shared" si="80"/>
        <v>0</v>
      </c>
      <c r="AG228" s="2">
        <f t="shared" si="80"/>
        <v>16.976659999999999</v>
      </c>
      <c r="AH228" s="2">
        <f t="shared" si="80"/>
        <v>0</v>
      </c>
      <c r="AI228" s="2">
        <f t="shared" si="80"/>
        <v>14.387</v>
      </c>
      <c r="AJ228" s="2">
        <f t="shared" si="80"/>
        <v>6.9057599999999999</v>
      </c>
      <c r="AK228" s="2">
        <f t="shared" si="80"/>
        <v>0.57547999999999999</v>
      </c>
      <c r="AL228" s="2">
        <f t="shared" si="80"/>
        <v>4.8915800000000003</v>
      </c>
      <c r="AM228" s="2">
        <f t="shared" si="80"/>
        <v>0</v>
      </c>
      <c r="AN228" s="2">
        <f t="shared" si="80"/>
        <v>0</v>
      </c>
      <c r="AO228" s="2">
        <f t="shared" si="80"/>
        <v>0.28774</v>
      </c>
      <c r="AP228" s="2">
        <f t="shared" si="80"/>
        <v>0.28774</v>
      </c>
      <c r="AQ228" s="2">
        <f t="shared" si="80"/>
        <v>0</v>
      </c>
      <c r="AR228" s="2">
        <f t="shared" si="80"/>
        <v>0.86321999999999999</v>
      </c>
      <c r="AS228" s="2">
        <f t="shared" si="80"/>
        <v>1.15096</v>
      </c>
    </row>
    <row r="229" spans="1:45" hidden="1" x14ac:dyDescent="0.25">
      <c r="A229" s="2" t="s">
        <v>72</v>
      </c>
      <c r="B229" s="2">
        <v>3528.83</v>
      </c>
      <c r="C229" s="2">
        <f t="shared" si="80"/>
        <v>2.823064</v>
      </c>
      <c r="D229" s="2">
        <f t="shared" si="80"/>
        <v>0</v>
      </c>
      <c r="E229" s="2">
        <f t="shared" si="80"/>
        <v>0</v>
      </c>
      <c r="F229" s="2">
        <f t="shared" si="80"/>
        <v>0</v>
      </c>
      <c r="G229" s="2">
        <f t="shared" si="80"/>
        <v>0</v>
      </c>
      <c r="H229" s="2">
        <f t="shared" si="80"/>
        <v>0</v>
      </c>
      <c r="I229" s="2">
        <f t="shared" si="80"/>
        <v>1.411532</v>
      </c>
      <c r="J229" s="2">
        <f t="shared" si="80"/>
        <v>1.411532</v>
      </c>
      <c r="K229" s="2">
        <f t="shared" si="80"/>
        <v>2.4701810000000002</v>
      </c>
      <c r="L229" s="2">
        <f t="shared" si="80"/>
        <v>0</v>
      </c>
      <c r="M229" s="2">
        <f t="shared" si="80"/>
        <v>0.705766</v>
      </c>
      <c r="N229" s="2">
        <f t="shared" si="80"/>
        <v>0</v>
      </c>
      <c r="O229" s="2">
        <f t="shared" si="80"/>
        <v>0</v>
      </c>
      <c r="P229" s="2">
        <f t="shared" si="80"/>
        <v>0</v>
      </c>
      <c r="Q229" s="2">
        <f t="shared" si="80"/>
        <v>1.411532</v>
      </c>
      <c r="R229" s="2">
        <f t="shared" si="80"/>
        <v>1.411532</v>
      </c>
      <c r="S229" s="2">
        <f t="shared" si="80"/>
        <v>0.705766</v>
      </c>
      <c r="T229" s="2">
        <f t="shared" si="80"/>
        <v>1.058649</v>
      </c>
      <c r="U229" s="2">
        <f t="shared" si="80"/>
        <v>0</v>
      </c>
      <c r="V229" s="2">
        <f t="shared" si="80"/>
        <v>0</v>
      </c>
      <c r="W229" s="2">
        <f t="shared" si="80"/>
        <v>0.705766</v>
      </c>
      <c r="X229" s="2">
        <f t="shared" si="80"/>
        <v>0.705766</v>
      </c>
      <c r="Y229" s="2">
        <f t="shared" si="80"/>
        <v>2.1172979999999999</v>
      </c>
      <c r="Z229" s="2">
        <f t="shared" si="80"/>
        <v>0.705766</v>
      </c>
      <c r="AA229" s="2">
        <f t="shared" si="80"/>
        <v>0.705766</v>
      </c>
      <c r="AB229" s="2">
        <f t="shared" si="80"/>
        <v>0</v>
      </c>
      <c r="AC229" s="2">
        <f t="shared" si="80"/>
        <v>0.705766</v>
      </c>
      <c r="AD229" s="2">
        <f t="shared" si="80"/>
        <v>0.705766</v>
      </c>
      <c r="AE229" s="2">
        <f t="shared" si="80"/>
        <v>2.1172979999999999</v>
      </c>
      <c r="AF229" s="2">
        <f t="shared" si="80"/>
        <v>0</v>
      </c>
      <c r="AG229" s="2">
        <f t="shared" si="80"/>
        <v>0</v>
      </c>
      <c r="AH229" s="2">
        <f t="shared" si="80"/>
        <v>0</v>
      </c>
      <c r="AI229" s="2">
        <f t="shared" si="80"/>
        <v>0.705766</v>
      </c>
      <c r="AJ229" s="2">
        <f t="shared" si="80"/>
        <v>0</v>
      </c>
      <c r="AK229" s="2">
        <f t="shared" si="80"/>
        <v>0</v>
      </c>
      <c r="AL229" s="2">
        <f t="shared" si="80"/>
        <v>0</v>
      </c>
      <c r="AM229" s="2">
        <f t="shared" si="80"/>
        <v>0</v>
      </c>
      <c r="AN229" s="2">
        <f t="shared" si="80"/>
        <v>0</v>
      </c>
      <c r="AO229" s="2">
        <f t="shared" si="80"/>
        <v>0</v>
      </c>
      <c r="AP229" s="2">
        <f t="shared" si="80"/>
        <v>0</v>
      </c>
      <c r="AQ229" s="2">
        <f t="shared" ref="AQ229:AS229" si="81">AQ10/100*$B229</f>
        <v>0</v>
      </c>
      <c r="AR229" s="2">
        <f t="shared" si="81"/>
        <v>0.352883</v>
      </c>
      <c r="AS229" s="2">
        <f t="shared" si="81"/>
        <v>0</v>
      </c>
    </row>
    <row r="230" spans="1:45" hidden="1" x14ac:dyDescent="0.25">
      <c r="A230" s="2" t="s">
        <v>73</v>
      </c>
      <c r="B230" s="2">
        <v>3535.77</v>
      </c>
      <c r="C230" s="2">
        <f t="shared" ref="C230:AS234" si="82">C11/100*$B230</f>
        <v>1.0607309999999999</v>
      </c>
      <c r="D230" s="2">
        <f t="shared" si="82"/>
        <v>0</v>
      </c>
      <c r="E230" s="2">
        <f t="shared" si="82"/>
        <v>0</v>
      </c>
      <c r="F230" s="2">
        <f t="shared" si="82"/>
        <v>0</v>
      </c>
      <c r="G230" s="2">
        <f t="shared" si="82"/>
        <v>0</v>
      </c>
      <c r="H230" s="2">
        <f t="shared" si="82"/>
        <v>0</v>
      </c>
      <c r="I230" s="2">
        <f t="shared" si="82"/>
        <v>0.35357700000000003</v>
      </c>
      <c r="J230" s="2">
        <f t="shared" si="82"/>
        <v>0.35357700000000003</v>
      </c>
      <c r="K230" s="2">
        <f t="shared" si="82"/>
        <v>0.70715400000000006</v>
      </c>
      <c r="L230" s="2">
        <f t="shared" si="82"/>
        <v>0</v>
      </c>
      <c r="M230" s="2">
        <f t="shared" si="82"/>
        <v>0.35357700000000003</v>
      </c>
      <c r="N230" s="2">
        <f t="shared" si="82"/>
        <v>0</v>
      </c>
      <c r="O230" s="2">
        <f t="shared" si="82"/>
        <v>0</v>
      </c>
      <c r="P230" s="2">
        <f t="shared" si="82"/>
        <v>0</v>
      </c>
      <c r="Q230" s="2">
        <f t="shared" si="82"/>
        <v>0.70715400000000006</v>
      </c>
      <c r="R230" s="2">
        <f t="shared" si="82"/>
        <v>0.70715400000000006</v>
      </c>
      <c r="S230" s="2">
        <f t="shared" si="82"/>
        <v>0</v>
      </c>
      <c r="T230" s="2">
        <f t="shared" si="82"/>
        <v>0</v>
      </c>
      <c r="U230" s="2">
        <f t="shared" si="82"/>
        <v>0</v>
      </c>
      <c r="V230" s="2">
        <f t="shared" si="82"/>
        <v>0</v>
      </c>
      <c r="W230" s="2">
        <f t="shared" si="82"/>
        <v>0</v>
      </c>
      <c r="X230" s="2">
        <f t="shared" si="82"/>
        <v>0</v>
      </c>
      <c r="Y230" s="2">
        <f t="shared" si="82"/>
        <v>0.35357700000000003</v>
      </c>
      <c r="Z230" s="2">
        <f t="shared" si="82"/>
        <v>0</v>
      </c>
      <c r="AA230" s="2">
        <f t="shared" si="82"/>
        <v>0.35357700000000003</v>
      </c>
      <c r="AB230" s="2">
        <f t="shared" si="82"/>
        <v>0.35357700000000003</v>
      </c>
      <c r="AC230" s="2">
        <f t="shared" si="82"/>
        <v>0</v>
      </c>
      <c r="AD230" s="2">
        <f t="shared" si="82"/>
        <v>0</v>
      </c>
      <c r="AE230" s="2">
        <f t="shared" si="82"/>
        <v>0.70715400000000006</v>
      </c>
      <c r="AF230" s="2">
        <f t="shared" si="82"/>
        <v>0</v>
      </c>
      <c r="AG230" s="2">
        <f t="shared" si="82"/>
        <v>0</v>
      </c>
      <c r="AH230" s="2">
        <f t="shared" si="82"/>
        <v>0</v>
      </c>
      <c r="AI230" s="2">
        <f t="shared" si="82"/>
        <v>0</v>
      </c>
      <c r="AJ230" s="2">
        <f t="shared" si="82"/>
        <v>0</v>
      </c>
      <c r="AK230" s="2">
        <f t="shared" si="82"/>
        <v>0</v>
      </c>
      <c r="AL230" s="2">
        <f t="shared" si="82"/>
        <v>0</v>
      </c>
      <c r="AM230" s="2">
        <f t="shared" si="82"/>
        <v>0</v>
      </c>
      <c r="AN230" s="2">
        <f t="shared" si="82"/>
        <v>0</v>
      </c>
      <c r="AO230" s="2">
        <f t="shared" si="82"/>
        <v>0</v>
      </c>
      <c r="AP230" s="2">
        <f t="shared" si="82"/>
        <v>0</v>
      </c>
      <c r="AQ230" s="2">
        <f t="shared" si="82"/>
        <v>0</v>
      </c>
      <c r="AR230" s="2">
        <f t="shared" si="82"/>
        <v>0</v>
      </c>
      <c r="AS230" s="2">
        <f t="shared" si="82"/>
        <v>0</v>
      </c>
    </row>
    <row r="231" spans="1:45" hidden="1" x14ac:dyDescent="0.25">
      <c r="A231" s="2" t="s">
        <v>74</v>
      </c>
      <c r="B231" s="2">
        <v>4194.95</v>
      </c>
      <c r="C231" s="2">
        <f t="shared" si="82"/>
        <v>0</v>
      </c>
      <c r="D231" s="2">
        <f t="shared" si="82"/>
        <v>0</v>
      </c>
      <c r="E231" s="2">
        <f t="shared" si="82"/>
        <v>0</v>
      </c>
      <c r="F231" s="2">
        <f t="shared" si="82"/>
        <v>0</v>
      </c>
      <c r="G231" s="2">
        <f t="shared" si="82"/>
        <v>0</v>
      </c>
      <c r="H231" s="2">
        <f t="shared" si="82"/>
        <v>0</v>
      </c>
      <c r="I231" s="2">
        <f t="shared" si="82"/>
        <v>0</v>
      </c>
      <c r="J231" s="2">
        <f t="shared" si="82"/>
        <v>0</v>
      </c>
      <c r="K231" s="2">
        <f t="shared" si="82"/>
        <v>0</v>
      </c>
      <c r="L231" s="2">
        <f t="shared" si="82"/>
        <v>0</v>
      </c>
      <c r="M231" s="2">
        <f t="shared" si="82"/>
        <v>0</v>
      </c>
      <c r="N231" s="2">
        <f t="shared" si="82"/>
        <v>0</v>
      </c>
      <c r="O231" s="2">
        <f t="shared" si="82"/>
        <v>0</v>
      </c>
      <c r="P231" s="2">
        <f t="shared" si="82"/>
        <v>0</v>
      </c>
      <c r="Q231" s="2">
        <f t="shared" si="82"/>
        <v>0</v>
      </c>
      <c r="R231" s="2">
        <f t="shared" si="82"/>
        <v>0.41949500000000001</v>
      </c>
      <c r="S231" s="2">
        <f t="shared" si="82"/>
        <v>0</v>
      </c>
      <c r="T231" s="2">
        <f t="shared" si="82"/>
        <v>0</v>
      </c>
      <c r="U231" s="2">
        <f t="shared" si="82"/>
        <v>0</v>
      </c>
      <c r="V231" s="2">
        <f t="shared" si="82"/>
        <v>0</v>
      </c>
      <c r="W231" s="2">
        <f t="shared" si="82"/>
        <v>0</v>
      </c>
      <c r="X231" s="2">
        <f t="shared" si="82"/>
        <v>0</v>
      </c>
      <c r="Y231" s="2">
        <f t="shared" si="82"/>
        <v>0</v>
      </c>
      <c r="Z231" s="2">
        <f t="shared" si="82"/>
        <v>0</v>
      </c>
      <c r="AA231" s="2">
        <f t="shared" si="82"/>
        <v>0</v>
      </c>
      <c r="AB231" s="2">
        <f t="shared" si="82"/>
        <v>0</v>
      </c>
      <c r="AC231" s="2">
        <f t="shared" si="82"/>
        <v>0</v>
      </c>
      <c r="AD231" s="2">
        <f t="shared" si="82"/>
        <v>0</v>
      </c>
      <c r="AE231" s="2">
        <f t="shared" si="82"/>
        <v>0</v>
      </c>
      <c r="AF231" s="2">
        <f t="shared" si="82"/>
        <v>0</v>
      </c>
      <c r="AG231" s="2">
        <f t="shared" si="82"/>
        <v>0</v>
      </c>
      <c r="AH231" s="2">
        <f t="shared" si="82"/>
        <v>0</v>
      </c>
      <c r="AI231" s="2">
        <f t="shared" si="82"/>
        <v>0</v>
      </c>
      <c r="AJ231" s="2">
        <f t="shared" si="82"/>
        <v>0</v>
      </c>
      <c r="AK231" s="2">
        <f t="shared" si="82"/>
        <v>0</v>
      </c>
      <c r="AL231" s="2">
        <f t="shared" si="82"/>
        <v>0</v>
      </c>
      <c r="AM231" s="2">
        <f t="shared" si="82"/>
        <v>0</v>
      </c>
      <c r="AN231" s="2">
        <f t="shared" si="82"/>
        <v>0</v>
      </c>
      <c r="AO231" s="2">
        <f t="shared" si="82"/>
        <v>0</v>
      </c>
      <c r="AP231" s="2">
        <f t="shared" si="82"/>
        <v>0</v>
      </c>
      <c r="AQ231" s="2">
        <f t="shared" si="82"/>
        <v>0</v>
      </c>
      <c r="AR231" s="2">
        <f t="shared" si="82"/>
        <v>0</v>
      </c>
      <c r="AS231" s="2">
        <f t="shared" si="82"/>
        <v>0</v>
      </c>
    </row>
    <row r="232" spans="1:45" hidden="1" x14ac:dyDescent="0.25">
      <c r="A232" s="2" t="s">
        <v>75</v>
      </c>
      <c r="B232" s="2">
        <v>0</v>
      </c>
      <c r="C232" s="2">
        <f t="shared" si="82"/>
        <v>0</v>
      </c>
      <c r="D232" s="2">
        <f t="shared" si="82"/>
        <v>0</v>
      </c>
      <c r="E232" s="2">
        <f t="shared" si="82"/>
        <v>0</v>
      </c>
      <c r="F232" s="2">
        <f t="shared" si="82"/>
        <v>0</v>
      </c>
      <c r="G232" s="2">
        <f t="shared" si="82"/>
        <v>0</v>
      </c>
      <c r="H232" s="2">
        <f t="shared" si="82"/>
        <v>0</v>
      </c>
      <c r="I232" s="2">
        <f t="shared" si="82"/>
        <v>0</v>
      </c>
      <c r="J232" s="2">
        <f t="shared" si="82"/>
        <v>0</v>
      </c>
      <c r="K232" s="2">
        <f t="shared" si="82"/>
        <v>0</v>
      </c>
      <c r="L232" s="2">
        <f t="shared" si="82"/>
        <v>0</v>
      </c>
      <c r="M232" s="2">
        <f t="shared" si="82"/>
        <v>0</v>
      </c>
      <c r="N232" s="2">
        <f t="shared" si="82"/>
        <v>0</v>
      </c>
      <c r="O232" s="2">
        <f t="shared" si="82"/>
        <v>0</v>
      </c>
      <c r="P232" s="2">
        <f t="shared" si="82"/>
        <v>0</v>
      </c>
      <c r="Q232" s="2">
        <f t="shared" si="82"/>
        <v>0</v>
      </c>
      <c r="R232" s="2">
        <f t="shared" si="82"/>
        <v>0</v>
      </c>
      <c r="S232" s="2">
        <f t="shared" si="82"/>
        <v>0</v>
      </c>
      <c r="T232" s="2">
        <f t="shared" si="82"/>
        <v>0</v>
      </c>
      <c r="U232" s="2">
        <f t="shared" si="82"/>
        <v>0</v>
      </c>
      <c r="V232" s="2">
        <f t="shared" si="82"/>
        <v>0</v>
      </c>
      <c r="W232" s="2">
        <f t="shared" si="82"/>
        <v>0</v>
      </c>
      <c r="X232" s="2">
        <f t="shared" si="82"/>
        <v>0</v>
      </c>
      <c r="Y232" s="2">
        <f t="shared" si="82"/>
        <v>0</v>
      </c>
      <c r="Z232" s="2">
        <f t="shared" si="82"/>
        <v>0</v>
      </c>
      <c r="AA232" s="2">
        <f t="shared" si="82"/>
        <v>0</v>
      </c>
      <c r="AB232" s="2">
        <f t="shared" si="82"/>
        <v>0</v>
      </c>
      <c r="AC232" s="2">
        <f t="shared" si="82"/>
        <v>0</v>
      </c>
      <c r="AD232" s="2">
        <f t="shared" si="82"/>
        <v>0</v>
      </c>
      <c r="AE232" s="2">
        <f t="shared" si="82"/>
        <v>0</v>
      </c>
      <c r="AF232" s="2">
        <f t="shared" si="82"/>
        <v>0</v>
      </c>
      <c r="AG232" s="2">
        <f t="shared" si="82"/>
        <v>0</v>
      </c>
      <c r="AH232" s="2">
        <f t="shared" si="82"/>
        <v>0</v>
      </c>
      <c r="AI232" s="2">
        <f t="shared" si="82"/>
        <v>0</v>
      </c>
      <c r="AJ232" s="2">
        <f t="shared" si="82"/>
        <v>0</v>
      </c>
      <c r="AK232" s="2">
        <f t="shared" si="82"/>
        <v>0</v>
      </c>
      <c r="AL232" s="2">
        <f t="shared" si="82"/>
        <v>0</v>
      </c>
      <c r="AM232" s="2">
        <f t="shared" si="82"/>
        <v>0</v>
      </c>
      <c r="AN232" s="2">
        <f t="shared" si="82"/>
        <v>0</v>
      </c>
      <c r="AO232" s="2">
        <f t="shared" si="82"/>
        <v>0</v>
      </c>
      <c r="AP232" s="2">
        <f t="shared" si="82"/>
        <v>0</v>
      </c>
      <c r="AQ232" s="2">
        <f t="shared" si="82"/>
        <v>0</v>
      </c>
      <c r="AR232" s="2">
        <f t="shared" si="82"/>
        <v>0</v>
      </c>
      <c r="AS232" s="2">
        <f t="shared" si="82"/>
        <v>0</v>
      </c>
    </row>
    <row r="233" spans="1:45" hidden="1" x14ac:dyDescent="0.25">
      <c r="A233" s="2" t="s">
        <v>76</v>
      </c>
      <c r="B233" s="2">
        <v>0</v>
      </c>
      <c r="C233" s="2">
        <f t="shared" si="82"/>
        <v>0</v>
      </c>
      <c r="D233" s="2">
        <f t="shared" si="82"/>
        <v>0</v>
      </c>
      <c r="E233" s="2">
        <f t="shared" si="82"/>
        <v>0</v>
      </c>
      <c r="F233" s="2">
        <f t="shared" si="82"/>
        <v>0</v>
      </c>
      <c r="G233" s="2">
        <f t="shared" si="82"/>
        <v>0</v>
      </c>
      <c r="H233" s="2">
        <f t="shared" si="82"/>
        <v>0</v>
      </c>
      <c r="I233" s="2">
        <f t="shared" si="82"/>
        <v>0</v>
      </c>
      <c r="J233" s="2">
        <f t="shared" si="82"/>
        <v>0</v>
      </c>
      <c r="K233" s="2">
        <f t="shared" si="82"/>
        <v>0</v>
      </c>
      <c r="L233" s="2">
        <f t="shared" si="82"/>
        <v>0</v>
      </c>
      <c r="M233" s="2">
        <f t="shared" si="82"/>
        <v>0</v>
      </c>
      <c r="N233" s="2">
        <f t="shared" si="82"/>
        <v>0</v>
      </c>
      <c r="O233" s="2">
        <f t="shared" si="82"/>
        <v>0</v>
      </c>
      <c r="P233" s="2">
        <f t="shared" si="82"/>
        <v>0</v>
      </c>
      <c r="Q233" s="2">
        <f t="shared" si="82"/>
        <v>0</v>
      </c>
      <c r="R233" s="2">
        <f t="shared" si="82"/>
        <v>0</v>
      </c>
      <c r="S233" s="2">
        <f t="shared" si="82"/>
        <v>0</v>
      </c>
      <c r="T233" s="2">
        <f t="shared" si="82"/>
        <v>0</v>
      </c>
      <c r="U233" s="2">
        <f t="shared" si="82"/>
        <v>0</v>
      </c>
      <c r="V233" s="2">
        <f t="shared" si="82"/>
        <v>0</v>
      </c>
      <c r="W233" s="2">
        <f t="shared" si="82"/>
        <v>0</v>
      </c>
      <c r="X233" s="2">
        <f t="shared" si="82"/>
        <v>0</v>
      </c>
      <c r="Y233" s="2">
        <f t="shared" si="82"/>
        <v>0</v>
      </c>
      <c r="Z233" s="2">
        <f t="shared" si="82"/>
        <v>0</v>
      </c>
      <c r="AA233" s="2">
        <f t="shared" si="82"/>
        <v>0</v>
      </c>
      <c r="AB233" s="2">
        <f t="shared" si="82"/>
        <v>0</v>
      </c>
      <c r="AC233" s="2">
        <f t="shared" si="82"/>
        <v>0</v>
      </c>
      <c r="AD233" s="2">
        <f t="shared" si="82"/>
        <v>0</v>
      </c>
      <c r="AE233" s="2">
        <f t="shared" si="82"/>
        <v>0</v>
      </c>
      <c r="AF233" s="2">
        <f t="shared" si="82"/>
        <v>0</v>
      </c>
      <c r="AG233" s="2">
        <f t="shared" si="82"/>
        <v>0</v>
      </c>
      <c r="AH233" s="2">
        <f t="shared" si="82"/>
        <v>0</v>
      </c>
      <c r="AI233" s="2">
        <f t="shared" si="82"/>
        <v>0</v>
      </c>
      <c r="AJ233" s="2">
        <f t="shared" si="82"/>
        <v>0</v>
      </c>
      <c r="AK233" s="2">
        <f t="shared" si="82"/>
        <v>0</v>
      </c>
      <c r="AL233" s="2">
        <f t="shared" si="82"/>
        <v>0</v>
      </c>
      <c r="AM233" s="2">
        <f t="shared" si="82"/>
        <v>0</v>
      </c>
      <c r="AN233" s="2">
        <f t="shared" si="82"/>
        <v>0</v>
      </c>
      <c r="AO233" s="2">
        <f t="shared" si="82"/>
        <v>0</v>
      </c>
      <c r="AP233" s="2">
        <f t="shared" si="82"/>
        <v>0</v>
      </c>
      <c r="AQ233" s="2">
        <f t="shared" si="82"/>
        <v>0</v>
      </c>
      <c r="AR233" s="2">
        <f t="shared" si="82"/>
        <v>0</v>
      </c>
      <c r="AS233" s="2">
        <f t="shared" si="82"/>
        <v>0</v>
      </c>
    </row>
    <row r="234" spans="1:45" hidden="1" x14ac:dyDescent="0.25">
      <c r="A234" s="2" t="s">
        <v>77</v>
      </c>
      <c r="B234" s="2">
        <v>0</v>
      </c>
      <c r="C234" s="2">
        <f t="shared" si="82"/>
        <v>0</v>
      </c>
      <c r="D234" s="2">
        <f t="shared" si="82"/>
        <v>0</v>
      </c>
      <c r="E234" s="2">
        <f t="shared" si="82"/>
        <v>0</v>
      </c>
      <c r="F234" s="2">
        <f t="shared" si="82"/>
        <v>0</v>
      </c>
      <c r="G234" s="2">
        <f t="shared" si="82"/>
        <v>0</v>
      </c>
      <c r="H234" s="2">
        <f t="shared" si="82"/>
        <v>0</v>
      </c>
      <c r="I234" s="2">
        <f t="shared" si="82"/>
        <v>0</v>
      </c>
      <c r="J234" s="2">
        <f t="shared" si="82"/>
        <v>0</v>
      </c>
      <c r="K234" s="2">
        <f t="shared" si="82"/>
        <v>0</v>
      </c>
      <c r="L234" s="2">
        <f t="shared" si="82"/>
        <v>0</v>
      </c>
      <c r="M234" s="2">
        <f t="shared" si="82"/>
        <v>0</v>
      </c>
      <c r="N234" s="2">
        <f t="shared" si="82"/>
        <v>0</v>
      </c>
      <c r="O234" s="2">
        <f t="shared" si="82"/>
        <v>0</v>
      </c>
      <c r="P234" s="2">
        <f t="shared" si="82"/>
        <v>0</v>
      </c>
      <c r="Q234" s="2">
        <f t="shared" si="82"/>
        <v>0</v>
      </c>
      <c r="R234" s="2">
        <f t="shared" si="82"/>
        <v>0</v>
      </c>
      <c r="S234" s="2">
        <f t="shared" si="82"/>
        <v>0</v>
      </c>
      <c r="T234" s="2">
        <f t="shared" si="82"/>
        <v>0</v>
      </c>
      <c r="U234" s="2">
        <f t="shared" si="82"/>
        <v>0</v>
      </c>
      <c r="V234" s="2">
        <f t="shared" si="82"/>
        <v>0</v>
      </c>
      <c r="W234" s="2">
        <f t="shared" si="82"/>
        <v>0</v>
      </c>
      <c r="X234" s="2">
        <f t="shared" si="82"/>
        <v>0</v>
      </c>
      <c r="Y234" s="2">
        <f t="shared" si="82"/>
        <v>0</v>
      </c>
      <c r="Z234" s="2">
        <f t="shared" si="82"/>
        <v>0</v>
      </c>
      <c r="AA234" s="2">
        <f t="shared" si="82"/>
        <v>0</v>
      </c>
      <c r="AB234" s="2">
        <f t="shared" si="82"/>
        <v>0</v>
      </c>
      <c r="AC234" s="2">
        <f t="shared" si="82"/>
        <v>0</v>
      </c>
      <c r="AD234" s="2">
        <f t="shared" si="82"/>
        <v>0</v>
      </c>
      <c r="AE234" s="2">
        <f t="shared" si="82"/>
        <v>0</v>
      </c>
      <c r="AF234" s="2">
        <f t="shared" si="82"/>
        <v>0</v>
      </c>
      <c r="AG234" s="2">
        <f t="shared" si="82"/>
        <v>0</v>
      </c>
      <c r="AH234" s="2">
        <f t="shared" si="82"/>
        <v>0</v>
      </c>
      <c r="AI234" s="2">
        <f t="shared" si="82"/>
        <v>0</v>
      </c>
      <c r="AJ234" s="2">
        <f t="shared" si="82"/>
        <v>0</v>
      </c>
      <c r="AK234" s="2">
        <f t="shared" si="82"/>
        <v>0</v>
      </c>
      <c r="AL234" s="2">
        <f t="shared" si="82"/>
        <v>0</v>
      </c>
      <c r="AM234" s="2">
        <f t="shared" si="82"/>
        <v>0</v>
      </c>
      <c r="AN234" s="2">
        <f t="shared" si="82"/>
        <v>0</v>
      </c>
      <c r="AO234" s="2">
        <f t="shared" si="82"/>
        <v>0</v>
      </c>
      <c r="AP234" s="2">
        <f t="shared" si="82"/>
        <v>0</v>
      </c>
      <c r="AQ234" s="2">
        <f t="shared" si="82"/>
        <v>0</v>
      </c>
      <c r="AR234" s="2">
        <f t="shared" si="82"/>
        <v>0</v>
      </c>
      <c r="AS234" s="2">
        <f t="shared" si="82"/>
        <v>0</v>
      </c>
    </row>
    <row r="235" spans="1:45" hidden="1" x14ac:dyDescent="0.25">
      <c r="A235" s="2" t="s">
        <v>78</v>
      </c>
      <c r="C235" s="2">
        <f>SUM(C224:C234)</f>
        <v>965.53768400000001</v>
      </c>
      <c r="D235" s="2">
        <f t="shared" ref="D235:AS235" si="83">SUM(D224:D234)</f>
        <v>971.7351890000001</v>
      </c>
      <c r="E235" s="2">
        <f>SUM(E224:E234)</f>
        <v>944.28567899999996</v>
      </c>
      <c r="F235" s="2">
        <f>SUM(F224:F234)</f>
        <v>941.13849399999992</v>
      </c>
      <c r="G235" s="2">
        <f t="shared" si="83"/>
        <v>946.29744399999993</v>
      </c>
      <c r="H235" s="2">
        <f>SUM(H224:H234)</f>
        <v>962.34443099999999</v>
      </c>
      <c r="I235" s="2">
        <f>SUM(I224:I234)</f>
        <v>936.09361399999989</v>
      </c>
      <c r="J235" s="2">
        <f>SUM(J224:J234)</f>
        <v>997.21262699999988</v>
      </c>
      <c r="K235" s="2">
        <f t="shared" si="83"/>
        <v>959.22035199999993</v>
      </c>
      <c r="L235" s="2">
        <f>SUM(L224:L234)</f>
        <v>996.24667900000009</v>
      </c>
      <c r="M235" s="2">
        <f>SUM(M224:M234)</f>
        <v>985.78842200000008</v>
      </c>
      <c r="N235" s="2">
        <f t="shared" si="83"/>
        <v>890.007071</v>
      </c>
      <c r="O235" s="2">
        <f t="shared" si="83"/>
        <v>889.31694700000003</v>
      </c>
      <c r="P235" s="2">
        <f t="shared" si="83"/>
        <v>889.89627399999995</v>
      </c>
      <c r="Q235" s="2">
        <f t="shared" si="83"/>
        <v>976.87184999999988</v>
      </c>
      <c r="R235" s="2">
        <f>SUM(R224:R234)</f>
        <v>958.37077799999986</v>
      </c>
      <c r="S235" s="2">
        <f>SUM(S224:S234)</f>
        <v>911.28216399999985</v>
      </c>
      <c r="T235" s="2">
        <f t="shared" si="83"/>
        <v>916.52784299999985</v>
      </c>
      <c r="U235" s="2">
        <f t="shared" si="83"/>
        <v>935.29168099999993</v>
      </c>
      <c r="V235" s="2">
        <f>SUM(V224:V234)</f>
        <v>964.95505199999991</v>
      </c>
      <c r="W235" s="2">
        <f t="shared" si="83"/>
        <v>959.53432500000008</v>
      </c>
      <c r="X235" s="2">
        <f t="shared" si="83"/>
        <v>914.08331300000009</v>
      </c>
      <c r="Y235" s="2">
        <f t="shared" si="83"/>
        <v>966.20296699999994</v>
      </c>
      <c r="Z235" s="2">
        <f t="shared" si="83"/>
        <v>968.3433560000002</v>
      </c>
      <c r="AA235" s="2">
        <f>SUM(AA224:AA234)</f>
        <v>988.55154799999991</v>
      </c>
      <c r="AB235" s="2">
        <f t="shared" si="83"/>
        <v>962.7922779999999</v>
      </c>
      <c r="AC235" s="2">
        <f t="shared" si="83"/>
        <v>946.29777500000012</v>
      </c>
      <c r="AD235" s="2">
        <f t="shared" si="83"/>
        <v>979.43806399999994</v>
      </c>
      <c r="AE235" s="2">
        <f t="shared" si="83"/>
        <v>1002.7735020000001</v>
      </c>
      <c r="AF235" s="2">
        <f t="shared" si="83"/>
        <v>947.10162600000001</v>
      </c>
      <c r="AG235" s="2">
        <f t="shared" si="83"/>
        <v>975.83027800000002</v>
      </c>
      <c r="AH235" s="2">
        <f t="shared" si="83"/>
        <v>929.6105</v>
      </c>
      <c r="AI235" s="2">
        <f t="shared" si="83"/>
        <v>966.09040100000016</v>
      </c>
      <c r="AJ235" s="2">
        <f>SUM(AJ224:AJ234)</f>
        <v>933.94317699999999</v>
      </c>
      <c r="AK235" s="2">
        <f t="shared" si="83"/>
        <v>905.57039799999995</v>
      </c>
      <c r="AL235" s="2">
        <f t="shared" si="83"/>
        <v>988.25641299999995</v>
      </c>
      <c r="AM235" s="2">
        <f t="shared" si="83"/>
        <v>889.78483099999994</v>
      </c>
      <c r="AN235" s="2">
        <f t="shared" si="83"/>
        <v>0</v>
      </c>
      <c r="AO235" s="2">
        <f t="shared" si="83"/>
        <v>908.27969900000005</v>
      </c>
      <c r="AP235" s="2">
        <f t="shared" si="83"/>
        <v>930.408458</v>
      </c>
      <c r="AQ235" s="2">
        <f t="shared" si="83"/>
        <v>0</v>
      </c>
      <c r="AR235" s="2">
        <f t="shared" si="83"/>
        <v>920.47217599999999</v>
      </c>
      <c r="AS235" s="2">
        <f t="shared" si="83"/>
        <v>942.44985600000007</v>
      </c>
    </row>
    <row r="236" spans="1:45" hidden="1" x14ac:dyDescent="0.25"/>
    <row r="237" spans="1:45" hidden="1" x14ac:dyDescent="0.25">
      <c r="A237" s="53" t="s">
        <v>111</v>
      </c>
    </row>
    <row r="238" spans="1:45" hidden="1" x14ac:dyDescent="0.25">
      <c r="A238" s="2" t="s">
        <v>67</v>
      </c>
      <c r="B238" s="2">
        <v>802.6</v>
      </c>
      <c r="C238" s="2">
        <f t="shared" ref="C238:AS243" si="84">C5/100*$B238</f>
        <v>719.61115999999993</v>
      </c>
      <c r="D238" s="2">
        <f t="shared" si="84"/>
        <v>711.90620000000001</v>
      </c>
      <c r="E238" s="2">
        <f t="shared" si="84"/>
        <v>732.77379999999994</v>
      </c>
      <c r="F238" s="2">
        <f t="shared" si="84"/>
        <v>735.82368000000008</v>
      </c>
      <c r="G238" s="2">
        <f t="shared" si="84"/>
        <v>735.90393999999992</v>
      </c>
      <c r="H238" s="2">
        <f t="shared" si="84"/>
        <v>741.28135999999995</v>
      </c>
      <c r="I238" s="2">
        <f t="shared" si="84"/>
        <v>759.09907999999996</v>
      </c>
      <c r="J238" s="2">
        <f t="shared" si="84"/>
        <v>711.10359999999991</v>
      </c>
      <c r="K238" s="2">
        <f t="shared" si="84"/>
        <v>742.88656000000003</v>
      </c>
      <c r="L238" s="2">
        <f t="shared" si="84"/>
        <v>686.46378000000004</v>
      </c>
      <c r="M238" s="2">
        <f t="shared" si="84"/>
        <v>707.57215999999994</v>
      </c>
      <c r="N238" s="2">
        <f t="shared" si="84"/>
        <v>800.99480000000005</v>
      </c>
      <c r="O238" s="2">
        <f t="shared" si="84"/>
        <v>800.99480000000005</v>
      </c>
      <c r="P238" s="2">
        <f t="shared" si="84"/>
        <v>801.23558000000003</v>
      </c>
      <c r="Q238" s="2">
        <f t="shared" si="84"/>
        <v>737.10784000000001</v>
      </c>
      <c r="R238" s="2">
        <f t="shared" si="84"/>
        <v>745.37462000000005</v>
      </c>
      <c r="S238" s="2">
        <f t="shared" si="84"/>
        <v>780.44823999999994</v>
      </c>
      <c r="T238" s="2">
        <f t="shared" si="84"/>
        <v>779.88642000000004</v>
      </c>
      <c r="U238" s="2">
        <f t="shared" si="84"/>
        <v>749.54813999999999</v>
      </c>
      <c r="V238" s="2">
        <f t="shared" si="84"/>
        <v>737.26836000000003</v>
      </c>
      <c r="W238" s="2">
        <f t="shared" si="84"/>
        <v>752.83879999999999</v>
      </c>
      <c r="X238" s="2">
        <f t="shared" si="84"/>
        <v>776.1142000000001</v>
      </c>
      <c r="Y238" s="2">
        <f t="shared" si="84"/>
        <v>742.08396000000005</v>
      </c>
      <c r="Z238" s="2">
        <f t="shared" si="84"/>
        <v>740.88006000000007</v>
      </c>
      <c r="AA238" s="2">
        <f t="shared" si="84"/>
        <v>724.82806000000005</v>
      </c>
      <c r="AB238" s="2">
        <f t="shared" si="84"/>
        <v>741.04057999999998</v>
      </c>
      <c r="AC238" s="2">
        <f t="shared" si="84"/>
        <v>738.23148000000003</v>
      </c>
      <c r="AD238" s="2">
        <f t="shared" si="84"/>
        <v>728.27923999999996</v>
      </c>
      <c r="AE238" s="2">
        <f t="shared" si="84"/>
        <v>703.96046000000013</v>
      </c>
      <c r="AF238" s="2">
        <f t="shared" si="84"/>
        <v>722.66104000000007</v>
      </c>
      <c r="AG238" s="2">
        <f t="shared" si="84"/>
        <v>722.90181999999993</v>
      </c>
      <c r="AH238" s="2">
        <f t="shared" si="84"/>
        <v>748.82579999999996</v>
      </c>
      <c r="AI238" s="2">
        <f t="shared" si="84"/>
        <v>742.16422</v>
      </c>
      <c r="AJ238" s="2">
        <f t="shared" si="84"/>
        <v>760.70428000000004</v>
      </c>
      <c r="AK238" s="2">
        <f t="shared" si="84"/>
        <v>787.51112000000012</v>
      </c>
      <c r="AL238" s="2">
        <f t="shared" si="84"/>
        <v>696.57653999999991</v>
      </c>
      <c r="AM238" s="2">
        <f t="shared" si="84"/>
        <v>800.51324</v>
      </c>
      <c r="AN238" s="2">
        <f t="shared" si="84"/>
        <v>0</v>
      </c>
      <c r="AO238" s="2">
        <f t="shared" si="84"/>
        <v>781.41136000000006</v>
      </c>
      <c r="AP238" s="2">
        <f t="shared" si="84"/>
        <v>754.44399999999996</v>
      </c>
      <c r="AQ238" s="2">
        <f t="shared" si="84"/>
        <v>0</v>
      </c>
      <c r="AR238" s="2">
        <f t="shared" si="84"/>
        <v>768.48950000000002</v>
      </c>
      <c r="AS238" s="2">
        <f t="shared" si="84"/>
        <v>747.30086000000006</v>
      </c>
    </row>
    <row r="239" spans="1:45" hidden="1" x14ac:dyDescent="0.25">
      <c r="A239" s="2" t="s">
        <v>68</v>
      </c>
      <c r="B239" s="2">
        <v>1428.64</v>
      </c>
      <c r="C239" s="2">
        <f t="shared" si="84"/>
        <v>121.148672</v>
      </c>
      <c r="D239" s="2">
        <f t="shared" si="84"/>
        <v>119.14857600000001</v>
      </c>
      <c r="E239" s="2">
        <f t="shared" si="84"/>
        <v>103.00494400000001</v>
      </c>
      <c r="F239" s="2">
        <f t="shared" si="84"/>
        <v>113.86260799999999</v>
      </c>
      <c r="G239" s="2">
        <f t="shared" si="84"/>
        <v>115.86270399999999</v>
      </c>
      <c r="H239" s="2">
        <f t="shared" si="84"/>
        <v>69.717631999999995</v>
      </c>
      <c r="I239" s="2">
        <f t="shared" si="84"/>
        <v>54.716912000000008</v>
      </c>
      <c r="J239" s="2">
        <f t="shared" si="84"/>
        <v>108.86236800000002</v>
      </c>
      <c r="K239" s="2">
        <f t="shared" si="84"/>
        <v>67.146079999999998</v>
      </c>
      <c r="L239" s="2">
        <f t="shared" si="84"/>
        <v>183.15164800000002</v>
      </c>
      <c r="M239" s="2">
        <f t="shared" si="84"/>
        <v>134.14929600000002</v>
      </c>
      <c r="N239" s="2">
        <f t="shared" si="84"/>
        <v>0.85718399999999995</v>
      </c>
      <c r="O239" s="2">
        <f t="shared" si="84"/>
        <v>0.42859199999999997</v>
      </c>
      <c r="P239" s="2">
        <f t="shared" si="84"/>
        <v>0.71432000000000007</v>
      </c>
      <c r="Q239" s="2">
        <f t="shared" si="84"/>
        <v>64.003072000000017</v>
      </c>
      <c r="R239" s="2">
        <f t="shared" si="84"/>
        <v>55.431232000000008</v>
      </c>
      <c r="S239" s="2">
        <f t="shared" si="84"/>
        <v>35.144544000000003</v>
      </c>
      <c r="T239" s="2">
        <f t="shared" si="84"/>
        <v>29.715712</v>
      </c>
      <c r="U239" s="2">
        <f t="shared" si="84"/>
        <v>93.147328000000002</v>
      </c>
      <c r="V239" s="2">
        <f t="shared" si="84"/>
        <v>80.861024000000015</v>
      </c>
      <c r="W239" s="2">
        <f t="shared" si="84"/>
        <v>44.287840000000003</v>
      </c>
      <c r="X239" s="2">
        <f t="shared" si="84"/>
        <v>32.715856000000002</v>
      </c>
      <c r="Y239" s="2">
        <f t="shared" si="84"/>
        <v>57.859920000000002</v>
      </c>
      <c r="Z239" s="2">
        <f t="shared" si="84"/>
        <v>57.717055999999999</v>
      </c>
      <c r="AA239" s="2">
        <f t="shared" si="84"/>
        <v>76.432240000000007</v>
      </c>
      <c r="AB239" s="2">
        <f t="shared" si="84"/>
        <v>72.574911999999998</v>
      </c>
      <c r="AC239" s="2">
        <f t="shared" si="84"/>
        <v>79.575248000000002</v>
      </c>
      <c r="AD239" s="2">
        <f t="shared" si="84"/>
        <v>80.146704000000014</v>
      </c>
      <c r="AE239" s="2">
        <f t="shared" si="84"/>
        <v>111.71964800000002</v>
      </c>
      <c r="AF239" s="2">
        <f t="shared" si="84"/>
        <v>130.86342400000001</v>
      </c>
      <c r="AG239" s="2">
        <f t="shared" si="84"/>
        <v>89.29</v>
      </c>
      <c r="AH239" s="2">
        <f t="shared" si="84"/>
        <v>89.29</v>
      </c>
      <c r="AI239" s="2">
        <f t="shared" si="84"/>
        <v>63.860208</v>
      </c>
      <c r="AJ239" s="2">
        <f t="shared" si="84"/>
        <v>50.859584000000005</v>
      </c>
      <c r="AK239" s="2">
        <f t="shared" si="84"/>
        <v>22.001056000000002</v>
      </c>
      <c r="AL239" s="2">
        <f t="shared" si="84"/>
        <v>154.43598400000002</v>
      </c>
      <c r="AM239" s="2">
        <f t="shared" si="84"/>
        <v>1.1429120000000002</v>
      </c>
      <c r="AN239" s="2">
        <f t="shared" si="84"/>
        <v>0</v>
      </c>
      <c r="AO239" s="2">
        <f t="shared" si="84"/>
        <v>34.715952000000009</v>
      </c>
      <c r="AP239" s="2">
        <f t="shared" si="84"/>
        <v>81.146752000000006</v>
      </c>
      <c r="AQ239" s="2">
        <f t="shared" si="84"/>
        <v>0</v>
      </c>
      <c r="AR239" s="2">
        <f t="shared" si="84"/>
        <v>56.002687999999999</v>
      </c>
      <c r="AS239" s="2">
        <f t="shared" si="84"/>
        <v>85.718400000000003</v>
      </c>
    </row>
    <row r="240" spans="1:45" hidden="1" x14ac:dyDescent="0.25">
      <c r="A240" s="2" t="s">
        <v>69</v>
      </c>
      <c r="B240" s="2">
        <v>2043.11</v>
      </c>
      <c r="C240" s="2">
        <f t="shared" si="84"/>
        <v>25.947496999999998</v>
      </c>
      <c r="D240" s="2">
        <f t="shared" si="84"/>
        <v>34.528558999999994</v>
      </c>
      <c r="E240" s="2">
        <f t="shared" si="84"/>
        <v>16.34488</v>
      </c>
      <c r="F240" s="2">
        <f t="shared" si="84"/>
        <v>0.20431099999999999</v>
      </c>
      <c r="G240" s="2">
        <f t="shared" si="84"/>
        <v>2.8603540000000001</v>
      </c>
      <c r="H240" s="2">
        <f t="shared" si="84"/>
        <v>37.388913000000002</v>
      </c>
      <c r="I240" s="2">
        <f t="shared" si="84"/>
        <v>18.796612</v>
      </c>
      <c r="J240" s="2">
        <f t="shared" si="84"/>
        <v>57.207079999999991</v>
      </c>
      <c r="K240" s="2">
        <f t="shared" si="84"/>
        <v>34.119937</v>
      </c>
      <c r="L240" s="2">
        <f t="shared" si="84"/>
        <v>29.829405999999999</v>
      </c>
      <c r="M240" s="2">
        <f t="shared" si="84"/>
        <v>40.862200000000001</v>
      </c>
      <c r="N240" s="2">
        <f t="shared" si="84"/>
        <v>0.20431099999999999</v>
      </c>
      <c r="O240" s="2">
        <f t="shared" si="84"/>
        <v>0</v>
      </c>
      <c r="P240" s="2">
        <f t="shared" si="84"/>
        <v>0</v>
      </c>
      <c r="Q240" s="2">
        <f t="shared" si="84"/>
        <v>49.034639999999996</v>
      </c>
      <c r="R240" s="2">
        <f t="shared" si="84"/>
        <v>47.400151999999991</v>
      </c>
      <c r="S240" s="2">
        <f t="shared" si="84"/>
        <v>3.2689759999999999</v>
      </c>
      <c r="T240" s="2">
        <f t="shared" si="84"/>
        <v>8.7853729999999999</v>
      </c>
      <c r="U240" s="2">
        <f t="shared" si="84"/>
        <v>1.6344879999999999</v>
      </c>
      <c r="V240" s="2">
        <f t="shared" si="84"/>
        <v>32.68976</v>
      </c>
      <c r="W240" s="2">
        <f t="shared" si="84"/>
        <v>40.249266999999996</v>
      </c>
      <c r="X240" s="2">
        <f t="shared" si="84"/>
        <v>9.8069279999999992</v>
      </c>
      <c r="Y240" s="2">
        <f t="shared" si="84"/>
        <v>40.249266999999996</v>
      </c>
      <c r="Z240" s="2">
        <f t="shared" si="84"/>
        <v>47.604463000000003</v>
      </c>
      <c r="AA240" s="2">
        <f t="shared" si="84"/>
        <v>65.583830999999989</v>
      </c>
      <c r="AB240" s="2">
        <f t="shared" si="84"/>
        <v>38.819089999999996</v>
      </c>
      <c r="AC240" s="2">
        <f t="shared" si="84"/>
        <v>25.743185999999998</v>
      </c>
      <c r="AD240" s="2">
        <f t="shared" si="84"/>
        <v>43.10962099999999</v>
      </c>
      <c r="AE240" s="2">
        <f t="shared" si="84"/>
        <v>58.637256999999998</v>
      </c>
      <c r="AF240" s="2">
        <f t="shared" si="84"/>
        <v>2.04311</v>
      </c>
      <c r="AG240" s="2">
        <f t="shared" si="84"/>
        <v>44.131176000000004</v>
      </c>
      <c r="AH240" s="2">
        <f t="shared" si="84"/>
        <v>1.021555</v>
      </c>
      <c r="AI240" s="2">
        <f t="shared" si="84"/>
        <v>41.475132999999992</v>
      </c>
      <c r="AJ240" s="2">
        <f t="shared" si="84"/>
        <v>17.775056999999997</v>
      </c>
      <c r="AK240" s="2">
        <f t="shared" si="84"/>
        <v>5.7207080000000001</v>
      </c>
      <c r="AL240" s="2">
        <f t="shared" si="84"/>
        <v>34.937181000000002</v>
      </c>
      <c r="AM240" s="2">
        <f t="shared" si="84"/>
        <v>0.20431099999999999</v>
      </c>
      <c r="AN240" s="2">
        <f t="shared" si="84"/>
        <v>0</v>
      </c>
      <c r="AO240" s="2">
        <f t="shared" si="84"/>
        <v>2.4517319999999998</v>
      </c>
      <c r="AP240" s="2">
        <f t="shared" si="84"/>
        <v>3.6775979999999997</v>
      </c>
      <c r="AQ240" s="2">
        <f t="shared" si="84"/>
        <v>0</v>
      </c>
      <c r="AR240" s="2">
        <f t="shared" si="84"/>
        <v>4.08622</v>
      </c>
      <c r="AS240" s="2">
        <f t="shared" si="84"/>
        <v>16.140568999999999</v>
      </c>
    </row>
    <row r="241" spans="1:45" hidden="1" x14ac:dyDescent="0.25">
      <c r="A241" s="2" t="s">
        <v>70</v>
      </c>
      <c r="B241" s="2">
        <v>2648.12</v>
      </c>
      <c r="C241" s="2">
        <f t="shared" si="84"/>
        <v>1.32406</v>
      </c>
      <c r="D241" s="2">
        <f t="shared" si="84"/>
        <v>5.2962400000000001</v>
      </c>
      <c r="E241" s="2">
        <f t="shared" si="84"/>
        <v>0.52962399999999998</v>
      </c>
      <c r="F241" s="2">
        <f t="shared" si="84"/>
        <v>0</v>
      </c>
      <c r="G241" s="2">
        <f t="shared" si="84"/>
        <v>0</v>
      </c>
      <c r="H241" s="2">
        <f t="shared" si="84"/>
        <v>9.5332319999999999</v>
      </c>
      <c r="I241" s="2">
        <f t="shared" si="84"/>
        <v>5.031428</v>
      </c>
      <c r="J241" s="2">
        <f t="shared" si="84"/>
        <v>9.5332319999999999</v>
      </c>
      <c r="K241" s="2">
        <f t="shared" si="84"/>
        <v>8.4739839999999997</v>
      </c>
      <c r="L241" s="2">
        <f t="shared" si="84"/>
        <v>1.059248</v>
      </c>
      <c r="M241" s="2">
        <f t="shared" si="84"/>
        <v>4.2369919999999999</v>
      </c>
      <c r="N241" s="2">
        <f t="shared" si="84"/>
        <v>0</v>
      </c>
      <c r="O241" s="2">
        <f t="shared" si="84"/>
        <v>0</v>
      </c>
      <c r="P241" s="2">
        <f t="shared" si="84"/>
        <v>0</v>
      </c>
      <c r="Q241" s="2">
        <f t="shared" si="84"/>
        <v>13.240600000000001</v>
      </c>
      <c r="R241" s="2">
        <f t="shared" si="84"/>
        <v>6.8851119999999995</v>
      </c>
      <c r="S241" s="2">
        <f t="shared" si="84"/>
        <v>1.5888719999999998</v>
      </c>
      <c r="T241" s="2">
        <f t="shared" si="84"/>
        <v>5.031428</v>
      </c>
      <c r="U241" s="2">
        <f t="shared" si="84"/>
        <v>0</v>
      </c>
      <c r="V241" s="2">
        <f t="shared" si="84"/>
        <v>11.122103999999998</v>
      </c>
      <c r="W241" s="2">
        <f t="shared" si="84"/>
        <v>12.975788</v>
      </c>
      <c r="X241" s="2">
        <f t="shared" si="84"/>
        <v>2.383308</v>
      </c>
      <c r="Y241" s="2">
        <f t="shared" si="84"/>
        <v>13.770223999999999</v>
      </c>
      <c r="Z241" s="2">
        <f t="shared" si="84"/>
        <v>14.299848000000001</v>
      </c>
      <c r="AA241" s="2">
        <f t="shared" si="84"/>
        <v>15.623907999999998</v>
      </c>
      <c r="AB241" s="2">
        <f t="shared" si="84"/>
        <v>8.7387959999999989</v>
      </c>
      <c r="AC241" s="2">
        <f t="shared" si="84"/>
        <v>3.1777439999999997</v>
      </c>
      <c r="AD241" s="2">
        <f t="shared" si="84"/>
        <v>17.212780000000002</v>
      </c>
      <c r="AE241" s="2">
        <f t="shared" si="84"/>
        <v>14.035036</v>
      </c>
      <c r="AF241" s="2">
        <f t="shared" si="84"/>
        <v>0</v>
      </c>
      <c r="AG241" s="2">
        <f t="shared" si="84"/>
        <v>10.327668000000001</v>
      </c>
      <c r="AH241" s="2">
        <f t="shared" si="84"/>
        <v>0</v>
      </c>
      <c r="AI241" s="2">
        <f t="shared" si="84"/>
        <v>11.651728</v>
      </c>
      <c r="AJ241" s="2">
        <f t="shared" si="84"/>
        <v>7.4147360000000004</v>
      </c>
      <c r="AK241" s="2">
        <f t="shared" si="84"/>
        <v>0.79443599999999992</v>
      </c>
      <c r="AL241" s="2">
        <f t="shared" si="84"/>
        <v>3.4425559999999997</v>
      </c>
      <c r="AM241" s="2">
        <f t="shared" si="84"/>
        <v>0</v>
      </c>
      <c r="AN241" s="2">
        <f t="shared" si="84"/>
        <v>0</v>
      </c>
      <c r="AO241" s="2">
        <f t="shared" si="84"/>
        <v>0.26481199999999999</v>
      </c>
      <c r="AP241" s="2">
        <f t="shared" si="84"/>
        <v>0.26481199999999999</v>
      </c>
      <c r="AQ241" s="2">
        <f t="shared" si="84"/>
        <v>0</v>
      </c>
      <c r="AR241" s="2">
        <f t="shared" si="84"/>
        <v>0.79443599999999992</v>
      </c>
      <c r="AS241" s="2">
        <f t="shared" si="84"/>
        <v>0.79443599999999992</v>
      </c>
    </row>
    <row r="242" spans="1:45" hidden="1" x14ac:dyDescent="0.25">
      <c r="A242" s="2" t="s">
        <v>71</v>
      </c>
      <c r="B242" s="2">
        <v>2657.32</v>
      </c>
      <c r="C242" s="2">
        <f t="shared" si="84"/>
        <v>1.0629280000000001</v>
      </c>
      <c r="D242" s="2">
        <f t="shared" si="84"/>
        <v>7.7062280000000003</v>
      </c>
      <c r="E242" s="2">
        <f t="shared" si="84"/>
        <v>0.26573200000000002</v>
      </c>
      <c r="F242" s="2">
        <f t="shared" si="84"/>
        <v>0</v>
      </c>
      <c r="G242" s="2">
        <f t="shared" si="84"/>
        <v>0</v>
      </c>
      <c r="H242" s="2">
        <f t="shared" si="84"/>
        <v>11.692208000000001</v>
      </c>
      <c r="I242" s="2">
        <f t="shared" si="84"/>
        <v>5.8461040000000004</v>
      </c>
      <c r="J242" s="2">
        <f t="shared" si="84"/>
        <v>13.818064</v>
      </c>
      <c r="K242" s="2">
        <f t="shared" si="84"/>
        <v>11.160743999999999</v>
      </c>
      <c r="L242" s="2">
        <f t="shared" si="84"/>
        <v>0.79719600000000002</v>
      </c>
      <c r="M242" s="2">
        <f t="shared" si="84"/>
        <v>3.7202480000000007</v>
      </c>
      <c r="N242" s="2">
        <f t="shared" si="84"/>
        <v>0</v>
      </c>
      <c r="O242" s="2">
        <f t="shared" si="84"/>
        <v>0</v>
      </c>
      <c r="P242" s="2">
        <f t="shared" si="84"/>
        <v>0</v>
      </c>
      <c r="Q242" s="2">
        <f t="shared" si="84"/>
        <v>17.804044000000001</v>
      </c>
      <c r="R242" s="2">
        <f t="shared" si="84"/>
        <v>8.5034240000000008</v>
      </c>
      <c r="S242" s="2">
        <f t="shared" si="84"/>
        <v>0.79719600000000002</v>
      </c>
      <c r="T242" s="2">
        <f t="shared" si="84"/>
        <v>2.391588</v>
      </c>
      <c r="U242" s="2">
        <f t="shared" si="84"/>
        <v>0</v>
      </c>
      <c r="V242" s="2">
        <f t="shared" si="84"/>
        <v>10.097816</v>
      </c>
      <c r="W242" s="2">
        <f t="shared" si="84"/>
        <v>15.943920000000002</v>
      </c>
      <c r="X242" s="2">
        <f t="shared" si="84"/>
        <v>2.9230520000000002</v>
      </c>
      <c r="Y242" s="2">
        <f t="shared" si="84"/>
        <v>17.006848000000002</v>
      </c>
      <c r="Z242" s="2">
        <f t="shared" si="84"/>
        <v>14.083796000000001</v>
      </c>
      <c r="AA242" s="2">
        <f t="shared" si="84"/>
        <v>10.629280000000001</v>
      </c>
      <c r="AB242" s="2">
        <f t="shared" si="84"/>
        <v>8.5034240000000008</v>
      </c>
      <c r="AC242" s="2">
        <f t="shared" si="84"/>
        <v>7.4404960000000013</v>
      </c>
      <c r="AD242" s="2">
        <f t="shared" si="84"/>
        <v>16.209651999999998</v>
      </c>
      <c r="AE242" s="2">
        <f t="shared" si="84"/>
        <v>16.475384000000002</v>
      </c>
      <c r="AF242" s="2">
        <f t="shared" si="84"/>
        <v>0</v>
      </c>
      <c r="AG242" s="2">
        <f t="shared" si="84"/>
        <v>15.678188</v>
      </c>
      <c r="AH242" s="2">
        <f t="shared" si="84"/>
        <v>0</v>
      </c>
      <c r="AI242" s="2">
        <f t="shared" si="84"/>
        <v>13.286600000000002</v>
      </c>
      <c r="AJ242" s="2">
        <f t="shared" si="84"/>
        <v>6.3775680000000001</v>
      </c>
      <c r="AK242" s="2">
        <f t="shared" si="84"/>
        <v>0.53146400000000005</v>
      </c>
      <c r="AL242" s="2">
        <f t="shared" si="84"/>
        <v>4.5174440000000002</v>
      </c>
      <c r="AM242" s="2">
        <f t="shared" si="84"/>
        <v>0</v>
      </c>
      <c r="AN242" s="2">
        <f t="shared" si="84"/>
        <v>0</v>
      </c>
      <c r="AO242" s="2">
        <f t="shared" si="84"/>
        <v>0.26573200000000002</v>
      </c>
      <c r="AP242" s="2">
        <f t="shared" si="84"/>
        <v>0.26573200000000002</v>
      </c>
      <c r="AQ242" s="2">
        <f t="shared" si="84"/>
        <v>0</v>
      </c>
      <c r="AR242" s="2">
        <f t="shared" si="84"/>
        <v>0.79719600000000002</v>
      </c>
      <c r="AS242" s="2">
        <f t="shared" si="84"/>
        <v>1.0629280000000001</v>
      </c>
    </row>
    <row r="243" spans="1:45" hidden="1" x14ac:dyDescent="0.25">
      <c r="A243" s="2" t="s">
        <v>72</v>
      </c>
      <c r="B243" s="2">
        <v>3264.73</v>
      </c>
      <c r="C243" s="2">
        <f t="shared" si="84"/>
        <v>2.6117840000000001</v>
      </c>
      <c r="D243" s="2">
        <f t="shared" si="84"/>
        <v>0</v>
      </c>
      <c r="E243" s="2">
        <f t="shared" si="84"/>
        <v>0</v>
      </c>
      <c r="F243" s="2">
        <f t="shared" si="84"/>
        <v>0</v>
      </c>
      <c r="G243" s="2">
        <f t="shared" si="84"/>
        <v>0</v>
      </c>
      <c r="H243" s="2">
        <f t="shared" si="84"/>
        <v>0</v>
      </c>
      <c r="I243" s="2">
        <f t="shared" si="84"/>
        <v>1.3058920000000001</v>
      </c>
      <c r="J243" s="2">
        <f t="shared" si="84"/>
        <v>1.3058920000000001</v>
      </c>
      <c r="K243" s="2">
        <f t="shared" si="84"/>
        <v>2.2853110000000005</v>
      </c>
      <c r="L243" s="2">
        <f t="shared" si="84"/>
        <v>0</v>
      </c>
      <c r="M243" s="2">
        <f t="shared" si="84"/>
        <v>0.65294600000000003</v>
      </c>
      <c r="N243" s="2">
        <f t="shared" si="84"/>
        <v>0</v>
      </c>
      <c r="O243" s="2">
        <f t="shared" si="84"/>
        <v>0</v>
      </c>
      <c r="P243" s="2">
        <f t="shared" si="84"/>
        <v>0</v>
      </c>
      <c r="Q243" s="2">
        <f t="shared" si="84"/>
        <v>1.3058920000000001</v>
      </c>
      <c r="R243" s="2">
        <f t="shared" si="84"/>
        <v>1.3058920000000001</v>
      </c>
      <c r="S243" s="2">
        <f t="shared" si="84"/>
        <v>0.65294600000000003</v>
      </c>
      <c r="T243" s="2">
        <f t="shared" si="84"/>
        <v>0.97941899999999993</v>
      </c>
      <c r="U243" s="2">
        <f t="shared" si="84"/>
        <v>0</v>
      </c>
      <c r="V243" s="2">
        <f t="shared" si="84"/>
        <v>0</v>
      </c>
      <c r="W243" s="2">
        <f t="shared" si="84"/>
        <v>0.65294600000000003</v>
      </c>
      <c r="X243" s="2">
        <f t="shared" si="84"/>
        <v>0.65294600000000003</v>
      </c>
      <c r="Y243" s="2">
        <f t="shared" si="84"/>
        <v>1.9588379999999999</v>
      </c>
      <c r="Z243" s="2">
        <f t="shared" si="84"/>
        <v>0.65294600000000003</v>
      </c>
      <c r="AA243" s="2">
        <f t="shared" si="84"/>
        <v>0.65294600000000003</v>
      </c>
      <c r="AB243" s="2">
        <f t="shared" si="84"/>
        <v>0</v>
      </c>
      <c r="AC243" s="2">
        <f t="shared" si="84"/>
        <v>0.65294600000000003</v>
      </c>
      <c r="AD243" s="2">
        <f t="shared" si="84"/>
        <v>0.65294600000000003</v>
      </c>
      <c r="AE243" s="2">
        <f t="shared" si="84"/>
        <v>1.9588379999999999</v>
      </c>
      <c r="AF243" s="2">
        <f t="shared" si="84"/>
        <v>0</v>
      </c>
      <c r="AG243" s="2">
        <f t="shared" si="84"/>
        <v>0</v>
      </c>
      <c r="AH243" s="2">
        <f t="shared" si="84"/>
        <v>0</v>
      </c>
      <c r="AI243" s="2">
        <f t="shared" si="84"/>
        <v>0.65294600000000003</v>
      </c>
      <c r="AJ243" s="2">
        <f t="shared" si="84"/>
        <v>0</v>
      </c>
      <c r="AK243" s="2">
        <f t="shared" si="84"/>
        <v>0</v>
      </c>
      <c r="AL243" s="2">
        <f t="shared" si="84"/>
        <v>0</v>
      </c>
      <c r="AM243" s="2">
        <f t="shared" si="84"/>
        <v>0</v>
      </c>
      <c r="AN243" s="2">
        <f t="shared" si="84"/>
        <v>0</v>
      </c>
      <c r="AO243" s="2">
        <f t="shared" si="84"/>
        <v>0</v>
      </c>
      <c r="AP243" s="2">
        <f t="shared" si="84"/>
        <v>0</v>
      </c>
      <c r="AQ243" s="2">
        <f t="shared" ref="AQ243:AS243" si="85">AQ10/100*$B243</f>
        <v>0</v>
      </c>
      <c r="AR243" s="2">
        <f t="shared" si="85"/>
        <v>0.32647300000000001</v>
      </c>
      <c r="AS243" s="2">
        <f t="shared" si="85"/>
        <v>0</v>
      </c>
    </row>
    <row r="244" spans="1:45" hidden="1" x14ac:dyDescent="0.25">
      <c r="A244" s="2" t="s">
        <v>73</v>
      </c>
      <c r="B244" s="2">
        <v>3271.67</v>
      </c>
      <c r="C244" s="2">
        <f t="shared" ref="C244:AS248" si="86">C11/100*$B244</f>
        <v>0.98150099999999996</v>
      </c>
      <c r="D244" s="2">
        <f t="shared" si="86"/>
        <v>0</v>
      </c>
      <c r="E244" s="2">
        <f t="shared" si="86"/>
        <v>0</v>
      </c>
      <c r="F244" s="2">
        <f t="shared" si="86"/>
        <v>0</v>
      </c>
      <c r="G244" s="2">
        <f t="shared" si="86"/>
        <v>0</v>
      </c>
      <c r="H244" s="2">
        <f t="shared" si="86"/>
        <v>0</v>
      </c>
      <c r="I244" s="2">
        <f t="shared" si="86"/>
        <v>0.32716700000000004</v>
      </c>
      <c r="J244" s="2">
        <f t="shared" si="86"/>
        <v>0.32716700000000004</v>
      </c>
      <c r="K244" s="2">
        <f t="shared" si="86"/>
        <v>0.65433400000000008</v>
      </c>
      <c r="L244" s="2">
        <f t="shared" si="86"/>
        <v>0</v>
      </c>
      <c r="M244" s="2">
        <f t="shared" si="86"/>
        <v>0.32716700000000004</v>
      </c>
      <c r="N244" s="2">
        <f t="shared" si="86"/>
        <v>0</v>
      </c>
      <c r="O244" s="2">
        <f t="shared" si="86"/>
        <v>0</v>
      </c>
      <c r="P244" s="2">
        <f t="shared" si="86"/>
        <v>0</v>
      </c>
      <c r="Q244" s="2">
        <f t="shared" si="86"/>
        <v>0.65433400000000008</v>
      </c>
      <c r="R244" s="2">
        <f t="shared" si="86"/>
        <v>0.65433400000000008</v>
      </c>
      <c r="S244" s="2">
        <f t="shared" si="86"/>
        <v>0</v>
      </c>
      <c r="T244" s="2">
        <f t="shared" si="86"/>
        <v>0</v>
      </c>
      <c r="U244" s="2">
        <f t="shared" si="86"/>
        <v>0</v>
      </c>
      <c r="V244" s="2">
        <f t="shared" si="86"/>
        <v>0</v>
      </c>
      <c r="W244" s="2">
        <f t="shared" si="86"/>
        <v>0</v>
      </c>
      <c r="X244" s="2">
        <f t="shared" si="86"/>
        <v>0</v>
      </c>
      <c r="Y244" s="2">
        <f t="shared" si="86"/>
        <v>0.32716700000000004</v>
      </c>
      <c r="Z244" s="2">
        <f t="shared" si="86"/>
        <v>0</v>
      </c>
      <c r="AA244" s="2">
        <f t="shared" si="86"/>
        <v>0.32716700000000004</v>
      </c>
      <c r="AB244" s="2">
        <f t="shared" si="86"/>
        <v>0.32716700000000004</v>
      </c>
      <c r="AC244" s="2">
        <f t="shared" si="86"/>
        <v>0</v>
      </c>
      <c r="AD244" s="2">
        <f t="shared" si="86"/>
        <v>0</v>
      </c>
      <c r="AE244" s="2">
        <f t="shared" si="86"/>
        <v>0.65433400000000008</v>
      </c>
      <c r="AF244" s="2">
        <f t="shared" si="86"/>
        <v>0</v>
      </c>
      <c r="AG244" s="2">
        <f t="shared" si="86"/>
        <v>0</v>
      </c>
      <c r="AH244" s="2">
        <f t="shared" si="86"/>
        <v>0</v>
      </c>
      <c r="AI244" s="2">
        <f t="shared" si="86"/>
        <v>0</v>
      </c>
      <c r="AJ244" s="2">
        <f t="shared" si="86"/>
        <v>0</v>
      </c>
      <c r="AK244" s="2">
        <f t="shared" si="86"/>
        <v>0</v>
      </c>
      <c r="AL244" s="2">
        <f t="shared" si="86"/>
        <v>0</v>
      </c>
      <c r="AM244" s="2">
        <f t="shared" si="86"/>
        <v>0</v>
      </c>
      <c r="AN244" s="2">
        <f t="shared" si="86"/>
        <v>0</v>
      </c>
      <c r="AO244" s="2">
        <f t="shared" si="86"/>
        <v>0</v>
      </c>
      <c r="AP244" s="2">
        <f t="shared" si="86"/>
        <v>0</v>
      </c>
      <c r="AQ244" s="2">
        <f t="shared" si="86"/>
        <v>0</v>
      </c>
      <c r="AR244" s="2">
        <f t="shared" si="86"/>
        <v>0</v>
      </c>
      <c r="AS244" s="2">
        <f t="shared" si="86"/>
        <v>0</v>
      </c>
    </row>
    <row r="245" spans="1:45" hidden="1" x14ac:dyDescent="0.25">
      <c r="A245" s="2" t="s">
        <v>74</v>
      </c>
      <c r="B245" s="2">
        <v>3886.84</v>
      </c>
      <c r="C245" s="2">
        <f t="shared" si="86"/>
        <v>0</v>
      </c>
      <c r="D245" s="2">
        <f t="shared" si="86"/>
        <v>0</v>
      </c>
      <c r="E245" s="2">
        <f t="shared" si="86"/>
        <v>0</v>
      </c>
      <c r="F245" s="2">
        <f t="shared" si="86"/>
        <v>0</v>
      </c>
      <c r="G245" s="2">
        <f t="shared" si="86"/>
        <v>0</v>
      </c>
      <c r="H245" s="2">
        <f t="shared" si="86"/>
        <v>0</v>
      </c>
      <c r="I245" s="2">
        <f t="shared" si="86"/>
        <v>0</v>
      </c>
      <c r="J245" s="2">
        <f t="shared" si="86"/>
        <v>0</v>
      </c>
      <c r="K245" s="2">
        <f t="shared" si="86"/>
        <v>0</v>
      </c>
      <c r="L245" s="2">
        <f t="shared" si="86"/>
        <v>0</v>
      </c>
      <c r="M245" s="2">
        <f t="shared" si="86"/>
        <v>0</v>
      </c>
      <c r="N245" s="2">
        <f t="shared" si="86"/>
        <v>0</v>
      </c>
      <c r="O245" s="2">
        <f t="shared" si="86"/>
        <v>0</v>
      </c>
      <c r="P245" s="2">
        <f t="shared" si="86"/>
        <v>0</v>
      </c>
      <c r="Q245" s="2">
        <f t="shared" si="86"/>
        <v>0</v>
      </c>
      <c r="R245" s="2">
        <f t="shared" si="86"/>
        <v>0.38868400000000003</v>
      </c>
      <c r="S245" s="2">
        <f t="shared" si="86"/>
        <v>0</v>
      </c>
      <c r="T245" s="2">
        <f t="shared" si="86"/>
        <v>0</v>
      </c>
      <c r="U245" s="2">
        <f t="shared" si="86"/>
        <v>0</v>
      </c>
      <c r="V245" s="2">
        <f t="shared" si="86"/>
        <v>0</v>
      </c>
      <c r="W245" s="2">
        <f t="shared" si="86"/>
        <v>0</v>
      </c>
      <c r="X245" s="2">
        <f t="shared" si="86"/>
        <v>0</v>
      </c>
      <c r="Y245" s="2">
        <f t="shared" si="86"/>
        <v>0</v>
      </c>
      <c r="Z245" s="2">
        <f t="shared" si="86"/>
        <v>0</v>
      </c>
      <c r="AA245" s="2">
        <f t="shared" si="86"/>
        <v>0</v>
      </c>
      <c r="AB245" s="2">
        <f t="shared" si="86"/>
        <v>0</v>
      </c>
      <c r="AC245" s="2">
        <f t="shared" si="86"/>
        <v>0</v>
      </c>
      <c r="AD245" s="2">
        <f t="shared" si="86"/>
        <v>0</v>
      </c>
      <c r="AE245" s="2">
        <f t="shared" si="86"/>
        <v>0</v>
      </c>
      <c r="AF245" s="2">
        <f t="shared" si="86"/>
        <v>0</v>
      </c>
      <c r="AG245" s="2">
        <f t="shared" si="86"/>
        <v>0</v>
      </c>
      <c r="AH245" s="2">
        <f t="shared" si="86"/>
        <v>0</v>
      </c>
      <c r="AI245" s="2">
        <f t="shared" si="86"/>
        <v>0</v>
      </c>
      <c r="AJ245" s="2">
        <f t="shared" si="86"/>
        <v>0</v>
      </c>
      <c r="AK245" s="2">
        <f t="shared" si="86"/>
        <v>0</v>
      </c>
      <c r="AL245" s="2">
        <f t="shared" si="86"/>
        <v>0</v>
      </c>
      <c r="AM245" s="2">
        <f t="shared" si="86"/>
        <v>0</v>
      </c>
      <c r="AN245" s="2">
        <f t="shared" si="86"/>
        <v>0</v>
      </c>
      <c r="AO245" s="2">
        <f t="shared" si="86"/>
        <v>0</v>
      </c>
      <c r="AP245" s="2">
        <f t="shared" si="86"/>
        <v>0</v>
      </c>
      <c r="AQ245" s="2">
        <f t="shared" si="86"/>
        <v>0</v>
      </c>
      <c r="AR245" s="2">
        <f t="shared" si="86"/>
        <v>0</v>
      </c>
      <c r="AS245" s="2">
        <f t="shared" si="86"/>
        <v>0</v>
      </c>
    </row>
    <row r="246" spans="1:45" hidden="1" x14ac:dyDescent="0.25">
      <c r="A246" s="2" t="s">
        <v>75</v>
      </c>
      <c r="B246" s="2">
        <v>0</v>
      </c>
      <c r="C246" s="2">
        <f t="shared" si="86"/>
        <v>0</v>
      </c>
      <c r="D246" s="2">
        <f t="shared" si="86"/>
        <v>0</v>
      </c>
      <c r="E246" s="2">
        <f t="shared" si="86"/>
        <v>0</v>
      </c>
      <c r="F246" s="2">
        <f t="shared" si="86"/>
        <v>0</v>
      </c>
      <c r="G246" s="2">
        <f t="shared" si="86"/>
        <v>0</v>
      </c>
      <c r="H246" s="2">
        <f t="shared" si="86"/>
        <v>0</v>
      </c>
      <c r="I246" s="2">
        <f t="shared" si="86"/>
        <v>0</v>
      </c>
      <c r="J246" s="2">
        <f t="shared" si="86"/>
        <v>0</v>
      </c>
      <c r="K246" s="2">
        <f t="shared" si="86"/>
        <v>0</v>
      </c>
      <c r="L246" s="2">
        <f t="shared" si="86"/>
        <v>0</v>
      </c>
      <c r="M246" s="2">
        <f t="shared" si="86"/>
        <v>0</v>
      </c>
      <c r="N246" s="2">
        <f t="shared" si="86"/>
        <v>0</v>
      </c>
      <c r="O246" s="2">
        <f t="shared" si="86"/>
        <v>0</v>
      </c>
      <c r="P246" s="2">
        <f t="shared" si="86"/>
        <v>0</v>
      </c>
      <c r="Q246" s="2">
        <f t="shared" si="86"/>
        <v>0</v>
      </c>
      <c r="R246" s="2">
        <f t="shared" si="86"/>
        <v>0</v>
      </c>
      <c r="S246" s="2">
        <f t="shared" si="86"/>
        <v>0</v>
      </c>
      <c r="T246" s="2">
        <f t="shared" si="86"/>
        <v>0</v>
      </c>
      <c r="U246" s="2">
        <f t="shared" si="86"/>
        <v>0</v>
      </c>
      <c r="V246" s="2">
        <f t="shared" si="86"/>
        <v>0</v>
      </c>
      <c r="W246" s="2">
        <f t="shared" si="86"/>
        <v>0</v>
      </c>
      <c r="X246" s="2">
        <f t="shared" si="86"/>
        <v>0</v>
      </c>
      <c r="Y246" s="2">
        <f t="shared" si="86"/>
        <v>0</v>
      </c>
      <c r="Z246" s="2">
        <f t="shared" si="86"/>
        <v>0</v>
      </c>
      <c r="AA246" s="2">
        <f t="shared" si="86"/>
        <v>0</v>
      </c>
      <c r="AB246" s="2">
        <f t="shared" si="86"/>
        <v>0</v>
      </c>
      <c r="AC246" s="2">
        <f t="shared" si="86"/>
        <v>0</v>
      </c>
      <c r="AD246" s="2">
        <f t="shared" si="86"/>
        <v>0</v>
      </c>
      <c r="AE246" s="2">
        <f t="shared" si="86"/>
        <v>0</v>
      </c>
      <c r="AF246" s="2">
        <f t="shared" si="86"/>
        <v>0</v>
      </c>
      <c r="AG246" s="2">
        <f t="shared" si="86"/>
        <v>0</v>
      </c>
      <c r="AH246" s="2">
        <f t="shared" si="86"/>
        <v>0</v>
      </c>
      <c r="AI246" s="2">
        <f t="shared" si="86"/>
        <v>0</v>
      </c>
      <c r="AJ246" s="2">
        <f t="shared" si="86"/>
        <v>0</v>
      </c>
      <c r="AK246" s="2">
        <f t="shared" si="86"/>
        <v>0</v>
      </c>
      <c r="AL246" s="2">
        <f t="shared" si="86"/>
        <v>0</v>
      </c>
      <c r="AM246" s="2">
        <f t="shared" si="86"/>
        <v>0</v>
      </c>
      <c r="AN246" s="2">
        <f t="shared" si="86"/>
        <v>0</v>
      </c>
      <c r="AO246" s="2">
        <f t="shared" si="86"/>
        <v>0</v>
      </c>
      <c r="AP246" s="2">
        <f t="shared" si="86"/>
        <v>0</v>
      </c>
      <c r="AQ246" s="2">
        <f t="shared" si="86"/>
        <v>0</v>
      </c>
      <c r="AR246" s="2">
        <f t="shared" si="86"/>
        <v>0</v>
      </c>
      <c r="AS246" s="2">
        <f t="shared" si="86"/>
        <v>0</v>
      </c>
    </row>
    <row r="247" spans="1:45" hidden="1" x14ac:dyDescent="0.25">
      <c r="A247" s="2" t="s">
        <v>76</v>
      </c>
      <c r="B247" s="2">
        <v>0</v>
      </c>
      <c r="C247" s="2">
        <f t="shared" si="86"/>
        <v>0</v>
      </c>
      <c r="D247" s="2">
        <f t="shared" si="86"/>
        <v>0</v>
      </c>
      <c r="E247" s="2">
        <f t="shared" si="86"/>
        <v>0</v>
      </c>
      <c r="F247" s="2">
        <f t="shared" si="86"/>
        <v>0</v>
      </c>
      <c r="G247" s="2">
        <f t="shared" si="86"/>
        <v>0</v>
      </c>
      <c r="H247" s="2">
        <f t="shared" si="86"/>
        <v>0</v>
      </c>
      <c r="I247" s="2">
        <f t="shared" si="86"/>
        <v>0</v>
      </c>
      <c r="J247" s="2">
        <f t="shared" si="86"/>
        <v>0</v>
      </c>
      <c r="K247" s="2">
        <f t="shared" si="86"/>
        <v>0</v>
      </c>
      <c r="L247" s="2">
        <f t="shared" si="86"/>
        <v>0</v>
      </c>
      <c r="M247" s="2">
        <f t="shared" si="86"/>
        <v>0</v>
      </c>
      <c r="N247" s="2">
        <f t="shared" si="86"/>
        <v>0</v>
      </c>
      <c r="O247" s="2">
        <f t="shared" si="86"/>
        <v>0</v>
      </c>
      <c r="P247" s="2">
        <f t="shared" si="86"/>
        <v>0</v>
      </c>
      <c r="Q247" s="2">
        <f t="shared" si="86"/>
        <v>0</v>
      </c>
      <c r="R247" s="2">
        <f t="shared" si="86"/>
        <v>0</v>
      </c>
      <c r="S247" s="2">
        <f t="shared" si="86"/>
        <v>0</v>
      </c>
      <c r="T247" s="2">
        <f t="shared" si="86"/>
        <v>0</v>
      </c>
      <c r="U247" s="2">
        <f t="shared" si="86"/>
        <v>0</v>
      </c>
      <c r="V247" s="2">
        <f t="shared" si="86"/>
        <v>0</v>
      </c>
      <c r="W247" s="2">
        <f t="shared" si="86"/>
        <v>0</v>
      </c>
      <c r="X247" s="2">
        <f t="shared" si="86"/>
        <v>0</v>
      </c>
      <c r="Y247" s="2">
        <f t="shared" si="86"/>
        <v>0</v>
      </c>
      <c r="Z247" s="2">
        <f t="shared" si="86"/>
        <v>0</v>
      </c>
      <c r="AA247" s="2">
        <f t="shared" si="86"/>
        <v>0</v>
      </c>
      <c r="AB247" s="2">
        <f t="shared" si="86"/>
        <v>0</v>
      </c>
      <c r="AC247" s="2">
        <f t="shared" si="86"/>
        <v>0</v>
      </c>
      <c r="AD247" s="2">
        <f t="shared" si="86"/>
        <v>0</v>
      </c>
      <c r="AE247" s="2">
        <f t="shared" si="86"/>
        <v>0</v>
      </c>
      <c r="AF247" s="2">
        <f t="shared" si="86"/>
        <v>0</v>
      </c>
      <c r="AG247" s="2">
        <f t="shared" si="86"/>
        <v>0</v>
      </c>
      <c r="AH247" s="2">
        <f t="shared" si="86"/>
        <v>0</v>
      </c>
      <c r="AI247" s="2">
        <f t="shared" si="86"/>
        <v>0</v>
      </c>
      <c r="AJ247" s="2">
        <f t="shared" si="86"/>
        <v>0</v>
      </c>
      <c r="AK247" s="2">
        <f t="shared" si="86"/>
        <v>0</v>
      </c>
      <c r="AL247" s="2">
        <f t="shared" si="86"/>
        <v>0</v>
      </c>
      <c r="AM247" s="2">
        <f t="shared" si="86"/>
        <v>0</v>
      </c>
      <c r="AN247" s="2">
        <f t="shared" si="86"/>
        <v>0</v>
      </c>
      <c r="AO247" s="2">
        <f t="shared" si="86"/>
        <v>0</v>
      </c>
      <c r="AP247" s="2">
        <f t="shared" si="86"/>
        <v>0</v>
      </c>
      <c r="AQ247" s="2">
        <f t="shared" si="86"/>
        <v>0</v>
      </c>
      <c r="AR247" s="2">
        <f t="shared" si="86"/>
        <v>0</v>
      </c>
      <c r="AS247" s="2">
        <f t="shared" si="86"/>
        <v>0</v>
      </c>
    </row>
    <row r="248" spans="1:45" hidden="1" x14ac:dyDescent="0.25">
      <c r="A248" s="2" t="s">
        <v>77</v>
      </c>
      <c r="B248" s="2">
        <v>0</v>
      </c>
      <c r="C248" s="2">
        <f t="shared" si="86"/>
        <v>0</v>
      </c>
      <c r="D248" s="2">
        <f t="shared" si="86"/>
        <v>0</v>
      </c>
      <c r="E248" s="2">
        <f t="shared" si="86"/>
        <v>0</v>
      </c>
      <c r="F248" s="2">
        <f t="shared" si="86"/>
        <v>0</v>
      </c>
      <c r="G248" s="2">
        <f t="shared" si="86"/>
        <v>0</v>
      </c>
      <c r="H248" s="2">
        <f t="shared" si="86"/>
        <v>0</v>
      </c>
      <c r="I248" s="2">
        <f t="shared" si="86"/>
        <v>0</v>
      </c>
      <c r="J248" s="2">
        <f t="shared" si="86"/>
        <v>0</v>
      </c>
      <c r="K248" s="2">
        <f t="shared" si="86"/>
        <v>0</v>
      </c>
      <c r="L248" s="2">
        <f t="shared" si="86"/>
        <v>0</v>
      </c>
      <c r="M248" s="2">
        <f t="shared" si="86"/>
        <v>0</v>
      </c>
      <c r="N248" s="2">
        <f t="shared" si="86"/>
        <v>0</v>
      </c>
      <c r="O248" s="2">
        <f t="shared" si="86"/>
        <v>0</v>
      </c>
      <c r="P248" s="2">
        <f t="shared" si="86"/>
        <v>0</v>
      </c>
      <c r="Q248" s="2">
        <f t="shared" si="86"/>
        <v>0</v>
      </c>
      <c r="R248" s="2">
        <f t="shared" si="86"/>
        <v>0</v>
      </c>
      <c r="S248" s="2">
        <f t="shared" si="86"/>
        <v>0</v>
      </c>
      <c r="T248" s="2">
        <f t="shared" si="86"/>
        <v>0</v>
      </c>
      <c r="U248" s="2">
        <f t="shared" si="86"/>
        <v>0</v>
      </c>
      <c r="V248" s="2">
        <f t="shared" si="86"/>
        <v>0</v>
      </c>
      <c r="W248" s="2">
        <f t="shared" si="86"/>
        <v>0</v>
      </c>
      <c r="X248" s="2">
        <f t="shared" si="86"/>
        <v>0</v>
      </c>
      <c r="Y248" s="2">
        <f t="shared" si="86"/>
        <v>0</v>
      </c>
      <c r="Z248" s="2">
        <f t="shared" si="86"/>
        <v>0</v>
      </c>
      <c r="AA248" s="2">
        <f t="shared" si="86"/>
        <v>0</v>
      </c>
      <c r="AB248" s="2">
        <f t="shared" si="86"/>
        <v>0</v>
      </c>
      <c r="AC248" s="2">
        <f t="shared" si="86"/>
        <v>0</v>
      </c>
      <c r="AD248" s="2">
        <f t="shared" si="86"/>
        <v>0</v>
      </c>
      <c r="AE248" s="2">
        <f t="shared" si="86"/>
        <v>0</v>
      </c>
      <c r="AF248" s="2">
        <f t="shared" si="86"/>
        <v>0</v>
      </c>
      <c r="AG248" s="2">
        <f t="shared" si="86"/>
        <v>0</v>
      </c>
      <c r="AH248" s="2">
        <f t="shared" si="86"/>
        <v>0</v>
      </c>
      <c r="AI248" s="2">
        <f t="shared" si="86"/>
        <v>0</v>
      </c>
      <c r="AJ248" s="2">
        <f t="shared" si="86"/>
        <v>0</v>
      </c>
      <c r="AK248" s="2">
        <f t="shared" si="86"/>
        <v>0</v>
      </c>
      <c r="AL248" s="2">
        <f t="shared" si="86"/>
        <v>0</v>
      </c>
      <c r="AM248" s="2">
        <f t="shared" si="86"/>
        <v>0</v>
      </c>
      <c r="AN248" s="2">
        <f t="shared" si="86"/>
        <v>0</v>
      </c>
      <c r="AO248" s="2">
        <f t="shared" si="86"/>
        <v>0</v>
      </c>
      <c r="AP248" s="2">
        <f t="shared" si="86"/>
        <v>0</v>
      </c>
      <c r="AQ248" s="2">
        <f t="shared" si="86"/>
        <v>0</v>
      </c>
      <c r="AR248" s="2">
        <f t="shared" si="86"/>
        <v>0</v>
      </c>
      <c r="AS248" s="2">
        <f t="shared" si="86"/>
        <v>0</v>
      </c>
    </row>
    <row r="249" spans="1:45" hidden="1" x14ac:dyDescent="0.25">
      <c r="A249" s="2" t="s">
        <v>78</v>
      </c>
      <c r="C249" s="2">
        <f>SUM(C238:C248)</f>
        <v>872.68760199999997</v>
      </c>
      <c r="D249" s="2">
        <f t="shared" ref="D249:AS249" si="87">SUM(D238:D248)</f>
        <v>878.58580300000006</v>
      </c>
      <c r="E249" s="2">
        <f>SUM(E238:E248)</f>
        <v>852.91897999999992</v>
      </c>
      <c r="F249" s="2">
        <f>SUM(F238:F248)</f>
        <v>849.89059900000007</v>
      </c>
      <c r="G249" s="2">
        <f t="shared" si="87"/>
        <v>854.62699799999996</v>
      </c>
      <c r="H249" s="2">
        <f>SUM(H238:H248)</f>
        <v>869.61334499999998</v>
      </c>
      <c r="I249" s="2">
        <f>SUM(I238:I248)</f>
        <v>845.1231949999999</v>
      </c>
      <c r="J249" s="2">
        <f>SUM(J238:J248)</f>
        <v>902.15740300000004</v>
      </c>
      <c r="K249" s="2">
        <f t="shared" si="87"/>
        <v>866.72694999999999</v>
      </c>
      <c r="L249" s="2">
        <f>SUM(L238:L248)</f>
        <v>901.30127800000002</v>
      </c>
      <c r="M249" s="2">
        <f>SUM(M238:M248)</f>
        <v>891.52100900000005</v>
      </c>
      <c r="N249" s="2">
        <f t="shared" si="87"/>
        <v>802.05629499999998</v>
      </c>
      <c r="O249" s="2">
        <f t="shared" si="87"/>
        <v>801.42339200000004</v>
      </c>
      <c r="P249" s="2">
        <f t="shared" si="87"/>
        <v>801.94990000000007</v>
      </c>
      <c r="Q249" s="2">
        <f t="shared" si="87"/>
        <v>883.15042199999982</v>
      </c>
      <c r="R249" s="2">
        <f>SUM(R238:R248)</f>
        <v>865.9434500000001</v>
      </c>
      <c r="S249" s="2">
        <f>SUM(S238:S248)</f>
        <v>821.90077399999996</v>
      </c>
      <c r="T249" s="2">
        <f t="shared" si="87"/>
        <v>826.78994000000012</v>
      </c>
      <c r="U249" s="2">
        <f t="shared" si="87"/>
        <v>844.32995600000004</v>
      </c>
      <c r="V249" s="2">
        <f>SUM(V238:V248)</f>
        <v>872.03906400000005</v>
      </c>
      <c r="W249" s="2">
        <f t="shared" si="87"/>
        <v>866.94856100000004</v>
      </c>
      <c r="X249" s="2">
        <f t="shared" si="87"/>
        <v>824.59629000000018</v>
      </c>
      <c r="Y249" s="2">
        <f t="shared" si="87"/>
        <v>873.25622400000009</v>
      </c>
      <c r="Z249" s="2">
        <f t="shared" si="87"/>
        <v>875.23816900000008</v>
      </c>
      <c r="AA249" s="2">
        <f>SUM(AA238:AA248)</f>
        <v>894.07743200000016</v>
      </c>
      <c r="AB249" s="2">
        <f t="shared" si="87"/>
        <v>870.00396899999998</v>
      </c>
      <c r="AC249" s="2">
        <f t="shared" si="87"/>
        <v>854.82110000000011</v>
      </c>
      <c r="AD249" s="2">
        <f t="shared" si="87"/>
        <v>885.61094299999991</v>
      </c>
      <c r="AE249" s="2">
        <f t="shared" si="87"/>
        <v>907.44095700000003</v>
      </c>
      <c r="AF249" s="2">
        <f t="shared" si="87"/>
        <v>855.56757400000004</v>
      </c>
      <c r="AG249" s="2">
        <f t="shared" si="87"/>
        <v>882.32885199999987</v>
      </c>
      <c r="AH249" s="2">
        <f t="shared" si="87"/>
        <v>839.13735499999996</v>
      </c>
      <c r="AI249" s="2">
        <f t="shared" si="87"/>
        <v>873.09083500000008</v>
      </c>
      <c r="AJ249" s="2">
        <f>SUM(AJ238:AJ248)</f>
        <v>843.13122499999997</v>
      </c>
      <c r="AK249" s="2">
        <f t="shared" si="87"/>
        <v>816.55878400000006</v>
      </c>
      <c r="AL249" s="2">
        <f t="shared" si="87"/>
        <v>893.90970499999992</v>
      </c>
      <c r="AM249" s="2">
        <f t="shared" si="87"/>
        <v>801.86046299999998</v>
      </c>
      <c r="AN249" s="2">
        <f t="shared" si="87"/>
        <v>0</v>
      </c>
      <c r="AO249" s="2">
        <f t="shared" si="87"/>
        <v>819.10958800000003</v>
      </c>
      <c r="AP249" s="2">
        <f t="shared" si="87"/>
        <v>839.7988939999999</v>
      </c>
      <c r="AQ249" s="2">
        <f t="shared" si="87"/>
        <v>0</v>
      </c>
      <c r="AR249" s="2">
        <f t="shared" si="87"/>
        <v>830.49651300000005</v>
      </c>
      <c r="AS249" s="2">
        <f t="shared" si="87"/>
        <v>851.01719300000013</v>
      </c>
    </row>
    <row r="250" spans="1:45" hidden="1" x14ac:dyDescent="0.25"/>
    <row r="251" spans="1:45" hidden="1" x14ac:dyDescent="0.25"/>
    <row r="252" spans="1:45" hidden="1" x14ac:dyDescent="0.25"/>
    <row r="253" spans="1:45" hidden="1" x14ac:dyDescent="0.25"/>
    <row r="254" spans="1:45" hidden="1" x14ac:dyDescent="0.25"/>
    <row r="255" spans="1:45" hidden="1" x14ac:dyDescent="0.25"/>
    <row r="256" spans="1:45" hidden="1" x14ac:dyDescent="0.25"/>
    <row r="257" spans="1:45" hidden="1" x14ac:dyDescent="0.25"/>
    <row r="258" spans="1:45" hidden="1" x14ac:dyDescent="0.25"/>
    <row r="259" spans="1:45" hidden="1" x14ac:dyDescent="0.25"/>
    <row r="260" spans="1:45" hidden="1" x14ac:dyDescent="0.25"/>
    <row r="261" spans="1:45" hidden="1" x14ac:dyDescent="0.25"/>
    <row r="262" spans="1:45" hidden="1" x14ac:dyDescent="0.25"/>
    <row r="263" spans="1:45" hidden="1" x14ac:dyDescent="0.25">
      <c r="A263" s="2" t="s">
        <v>112</v>
      </c>
    </row>
    <row r="264" spans="1:45" hidden="1" x14ac:dyDescent="0.25">
      <c r="A264" s="2" t="s">
        <v>67</v>
      </c>
      <c r="B264" s="54">
        <v>3.8149000000000002E-2</v>
      </c>
      <c r="C264" s="2">
        <f t="shared" ref="C264:AS269" si="88">C5/100*$B264</f>
        <v>3.4204393399999998E-2</v>
      </c>
      <c r="D264" s="2">
        <f t="shared" si="88"/>
        <v>3.3838163000000004E-2</v>
      </c>
      <c r="E264" s="2">
        <f t="shared" si="88"/>
        <v>3.4830037000000001E-2</v>
      </c>
      <c r="F264" s="2">
        <f t="shared" si="88"/>
        <v>3.4975003200000007E-2</v>
      </c>
      <c r="G264" s="2">
        <f t="shared" si="88"/>
        <v>3.4978818100000003E-2</v>
      </c>
      <c r="H264" s="2">
        <f t="shared" si="88"/>
        <v>3.5234416400000003E-2</v>
      </c>
      <c r="I264" s="2">
        <f t="shared" si="88"/>
        <v>3.6081324200000001E-2</v>
      </c>
      <c r="J264" s="2">
        <f t="shared" si="88"/>
        <v>3.3800013999999996E-2</v>
      </c>
      <c r="K264" s="2">
        <f t="shared" si="88"/>
        <v>3.5310714399999998E-2</v>
      </c>
      <c r="L264" s="2">
        <f t="shared" si="88"/>
        <v>3.2628839700000002E-2</v>
      </c>
      <c r="M264" s="2">
        <f t="shared" si="88"/>
        <v>3.3632158400000001E-2</v>
      </c>
      <c r="N264" s="2">
        <f t="shared" si="88"/>
        <v>3.8072702E-2</v>
      </c>
      <c r="O264" s="2">
        <f t="shared" si="88"/>
        <v>3.8072702E-2</v>
      </c>
      <c r="P264" s="2">
        <f t="shared" si="88"/>
        <v>3.8084146700000002E-2</v>
      </c>
      <c r="Q264" s="2">
        <f t="shared" si="88"/>
        <v>3.5036041600000005E-2</v>
      </c>
      <c r="R264" s="2">
        <f t="shared" si="88"/>
        <v>3.5428976300000005E-2</v>
      </c>
      <c r="S264" s="2">
        <f t="shared" si="88"/>
        <v>3.7096087600000001E-2</v>
      </c>
      <c r="T264" s="2">
        <f t="shared" si="88"/>
        <v>3.7069383300000001E-2</v>
      </c>
      <c r="U264" s="2">
        <f t="shared" si="88"/>
        <v>3.5627351100000003E-2</v>
      </c>
      <c r="V264" s="2">
        <f t="shared" si="88"/>
        <v>3.5043671400000004E-2</v>
      </c>
      <c r="W264" s="2">
        <f t="shared" si="88"/>
        <v>3.5783761999999997E-2</v>
      </c>
      <c r="X264" s="2">
        <f t="shared" si="88"/>
        <v>3.6890083000000004E-2</v>
      </c>
      <c r="Y264" s="2">
        <f t="shared" si="88"/>
        <v>3.5272565400000004E-2</v>
      </c>
      <c r="Z264" s="2">
        <f t="shared" si="88"/>
        <v>3.5215341900000002E-2</v>
      </c>
      <c r="AA264" s="2">
        <f t="shared" si="88"/>
        <v>3.4452361900000006E-2</v>
      </c>
      <c r="AB264" s="2">
        <f t="shared" si="88"/>
        <v>3.5222971700000001E-2</v>
      </c>
      <c r="AC264" s="2">
        <f t="shared" si="88"/>
        <v>3.5089450200000004E-2</v>
      </c>
      <c r="AD264" s="2">
        <f t="shared" si="88"/>
        <v>3.4616402599999999E-2</v>
      </c>
      <c r="AE264" s="2">
        <f t="shared" si="88"/>
        <v>3.3460487900000009E-2</v>
      </c>
      <c r="AF264" s="2">
        <f t="shared" si="88"/>
        <v>3.4349359600000004E-2</v>
      </c>
      <c r="AG264" s="2">
        <f t="shared" si="88"/>
        <v>3.4360804299999999E-2</v>
      </c>
      <c r="AH264" s="2">
        <f t="shared" si="88"/>
        <v>3.5593016999999998E-2</v>
      </c>
      <c r="AI264" s="2">
        <f t="shared" si="88"/>
        <v>3.52763803E-2</v>
      </c>
      <c r="AJ264" s="2">
        <f t="shared" si="88"/>
        <v>3.6157622200000003E-2</v>
      </c>
      <c r="AK264" s="2">
        <f t="shared" si="88"/>
        <v>3.7431798800000006E-2</v>
      </c>
      <c r="AL264" s="2">
        <f t="shared" si="88"/>
        <v>3.3109517099999999E-2</v>
      </c>
      <c r="AM264" s="2">
        <f t="shared" si="88"/>
        <v>3.8049812600000003E-2</v>
      </c>
      <c r="AN264" s="2">
        <f t="shared" si="88"/>
        <v>0</v>
      </c>
      <c r="AO264" s="2">
        <f t="shared" si="88"/>
        <v>3.7141866400000001E-2</v>
      </c>
      <c r="AP264" s="2">
        <f t="shared" si="88"/>
        <v>3.5860059999999999E-2</v>
      </c>
      <c r="AQ264" s="2">
        <f t="shared" si="88"/>
        <v>0</v>
      </c>
      <c r="AR264" s="2">
        <f t="shared" si="88"/>
        <v>3.65276675E-2</v>
      </c>
      <c r="AS264" s="2">
        <f t="shared" si="88"/>
        <v>3.5520533900000005E-2</v>
      </c>
    </row>
    <row r="265" spans="1:45" hidden="1" x14ac:dyDescent="0.25">
      <c r="A265" s="2" t="s">
        <v>68</v>
      </c>
      <c r="B265" s="54">
        <v>4.7941999999999999E-2</v>
      </c>
      <c r="C265" s="2">
        <f t="shared" si="88"/>
        <v>4.0654815999999995E-3</v>
      </c>
      <c r="D265" s="2">
        <f t="shared" si="88"/>
        <v>3.9983628000000004E-3</v>
      </c>
      <c r="E265" s="2">
        <f t="shared" si="88"/>
        <v>3.4566181999999999E-3</v>
      </c>
      <c r="F265" s="2">
        <f t="shared" si="88"/>
        <v>3.8209773999999994E-3</v>
      </c>
      <c r="G265" s="2">
        <f t="shared" si="88"/>
        <v>3.8880961999999994E-3</v>
      </c>
      <c r="H265" s="2">
        <f t="shared" si="88"/>
        <v>2.3395695999999999E-3</v>
      </c>
      <c r="I265" s="2">
        <f t="shared" si="88"/>
        <v>1.8361785999999999E-3</v>
      </c>
      <c r="J265" s="2">
        <f t="shared" si="88"/>
        <v>3.6531803999999999E-3</v>
      </c>
      <c r="K265" s="2">
        <f t="shared" si="88"/>
        <v>2.253274E-3</v>
      </c>
      <c r="L265" s="2">
        <f t="shared" si="88"/>
        <v>6.1461644000000001E-3</v>
      </c>
      <c r="M265" s="2">
        <f t="shared" si="88"/>
        <v>4.5017538000000001E-3</v>
      </c>
      <c r="N265" s="2">
        <f t="shared" si="88"/>
        <v>2.8765199999999997E-5</v>
      </c>
      <c r="O265" s="2">
        <f t="shared" si="88"/>
        <v>1.4382599999999998E-5</v>
      </c>
      <c r="P265" s="2">
        <f t="shared" si="88"/>
        <v>2.3971000000000001E-5</v>
      </c>
      <c r="Q265" s="2">
        <f t="shared" si="88"/>
        <v>2.1478016000000002E-3</v>
      </c>
      <c r="R265" s="2">
        <f t="shared" si="88"/>
        <v>1.8601495999999999E-3</v>
      </c>
      <c r="S265" s="2">
        <f t="shared" si="88"/>
        <v>1.1793731999999999E-3</v>
      </c>
      <c r="T265" s="2">
        <f t="shared" si="88"/>
        <v>9.9719359999999994E-4</v>
      </c>
      <c r="U265" s="2">
        <f t="shared" si="88"/>
        <v>3.1258183999999995E-3</v>
      </c>
      <c r="V265" s="2">
        <f t="shared" si="88"/>
        <v>2.7135172E-3</v>
      </c>
      <c r="W265" s="2">
        <f t="shared" si="88"/>
        <v>1.4862019999999998E-3</v>
      </c>
      <c r="X265" s="2">
        <f t="shared" si="88"/>
        <v>1.0978717999999999E-3</v>
      </c>
      <c r="Y265" s="2">
        <f t="shared" si="88"/>
        <v>1.941651E-3</v>
      </c>
      <c r="Z265" s="2">
        <f t="shared" si="88"/>
        <v>1.9368567999999999E-3</v>
      </c>
      <c r="AA265" s="2">
        <f t="shared" si="88"/>
        <v>2.564897E-3</v>
      </c>
      <c r="AB265" s="2">
        <f t="shared" si="88"/>
        <v>2.4354536E-3</v>
      </c>
      <c r="AC265" s="2">
        <f t="shared" si="88"/>
        <v>2.6703693999999998E-3</v>
      </c>
      <c r="AD265" s="2">
        <f t="shared" si="88"/>
        <v>2.6895462000000002E-3</v>
      </c>
      <c r="AE265" s="2">
        <f t="shared" si="88"/>
        <v>3.7490644E-3</v>
      </c>
      <c r="AF265" s="2">
        <f t="shared" si="88"/>
        <v>4.3914871999999995E-3</v>
      </c>
      <c r="AG265" s="2">
        <f t="shared" si="88"/>
        <v>2.9963749999999999E-3</v>
      </c>
      <c r="AH265" s="2">
        <f t="shared" si="88"/>
        <v>2.9963749999999999E-3</v>
      </c>
      <c r="AI265" s="2">
        <f t="shared" si="88"/>
        <v>2.1430073999999999E-3</v>
      </c>
      <c r="AJ265" s="2">
        <f t="shared" si="88"/>
        <v>1.7067351999999999E-3</v>
      </c>
      <c r="AK265" s="2">
        <f t="shared" si="88"/>
        <v>7.3830680000000004E-4</v>
      </c>
      <c r="AL265" s="2">
        <f t="shared" si="88"/>
        <v>5.1825301999999995E-3</v>
      </c>
      <c r="AM265" s="2">
        <f t="shared" si="88"/>
        <v>3.8353599999999998E-5</v>
      </c>
      <c r="AN265" s="2">
        <f t="shared" si="88"/>
        <v>0</v>
      </c>
      <c r="AO265" s="2">
        <f t="shared" si="88"/>
        <v>1.1649906000000001E-3</v>
      </c>
      <c r="AP265" s="2">
        <f t="shared" si="88"/>
        <v>2.7231055999999997E-3</v>
      </c>
      <c r="AQ265" s="2">
        <f t="shared" si="88"/>
        <v>0</v>
      </c>
      <c r="AR265" s="2">
        <f t="shared" si="88"/>
        <v>1.8793263999999999E-3</v>
      </c>
      <c r="AS265" s="2">
        <f t="shared" si="88"/>
        <v>2.8765199999999996E-3</v>
      </c>
    </row>
    <row r="266" spans="1:45" hidden="1" x14ac:dyDescent="0.25">
      <c r="A266" s="2" t="s">
        <v>69</v>
      </c>
      <c r="B266" s="54">
        <v>6.2496999999999997E-2</v>
      </c>
      <c r="C266" s="2">
        <f t="shared" si="88"/>
        <v>7.9371189999999988E-4</v>
      </c>
      <c r="D266" s="2">
        <f t="shared" si="88"/>
        <v>1.0561992999999997E-3</v>
      </c>
      <c r="E266" s="2">
        <f t="shared" si="88"/>
        <v>4.9997599999999996E-4</v>
      </c>
      <c r="F266" s="2">
        <f t="shared" si="88"/>
        <v>6.2496999999999996E-6</v>
      </c>
      <c r="G266" s="2">
        <f t="shared" si="88"/>
        <v>8.7495800000000003E-5</v>
      </c>
      <c r="H266" s="2">
        <f t="shared" si="88"/>
        <v>1.1436950999999999E-3</v>
      </c>
      <c r="I266" s="2">
        <f t="shared" si="88"/>
        <v>5.7497240000000001E-4</v>
      </c>
      <c r="J266" s="2">
        <f t="shared" si="88"/>
        <v>1.7499159999999998E-3</v>
      </c>
      <c r="K266" s="2">
        <f t="shared" si="88"/>
        <v>1.0436999E-3</v>
      </c>
      <c r="L266" s="2">
        <f t="shared" si="88"/>
        <v>9.1245619999999993E-4</v>
      </c>
      <c r="M266" s="2">
        <f t="shared" si="88"/>
        <v>1.2499399999999999E-3</v>
      </c>
      <c r="N266" s="2">
        <f t="shared" si="88"/>
        <v>6.2496999999999996E-6</v>
      </c>
      <c r="O266" s="2">
        <f t="shared" si="88"/>
        <v>0</v>
      </c>
      <c r="P266" s="2">
        <f t="shared" si="88"/>
        <v>0</v>
      </c>
      <c r="Q266" s="2">
        <f t="shared" si="88"/>
        <v>1.499928E-3</v>
      </c>
      <c r="R266" s="2">
        <f t="shared" si="88"/>
        <v>1.4499303999999998E-3</v>
      </c>
      <c r="S266" s="2">
        <f t="shared" si="88"/>
        <v>9.9995199999999994E-5</v>
      </c>
      <c r="T266" s="2">
        <f t="shared" si="88"/>
        <v>2.6873709999999999E-4</v>
      </c>
      <c r="U266" s="2">
        <f t="shared" si="88"/>
        <v>4.9997599999999997E-5</v>
      </c>
      <c r="V266" s="2">
        <f t="shared" si="88"/>
        <v>9.9995199999999992E-4</v>
      </c>
      <c r="W266" s="2">
        <f t="shared" si="88"/>
        <v>1.2311908999999999E-3</v>
      </c>
      <c r="X266" s="2">
        <f t="shared" si="88"/>
        <v>2.9998559999999994E-4</v>
      </c>
      <c r="Y266" s="2">
        <f t="shared" si="88"/>
        <v>1.2311908999999999E-3</v>
      </c>
      <c r="Z266" s="2">
        <f t="shared" si="88"/>
        <v>1.4561801000000001E-3</v>
      </c>
      <c r="AA266" s="2">
        <f t="shared" si="88"/>
        <v>2.0061536999999995E-3</v>
      </c>
      <c r="AB266" s="2">
        <f t="shared" si="88"/>
        <v>1.1874429999999998E-3</v>
      </c>
      <c r="AC266" s="2">
        <f t="shared" si="88"/>
        <v>7.8746220000000002E-4</v>
      </c>
      <c r="AD266" s="2">
        <f t="shared" si="88"/>
        <v>1.3186866999999997E-3</v>
      </c>
      <c r="AE266" s="2">
        <f t="shared" si="88"/>
        <v>1.7936638999999999E-3</v>
      </c>
      <c r="AF266" s="2">
        <f t="shared" si="88"/>
        <v>6.2496999999999995E-5</v>
      </c>
      <c r="AG266" s="2">
        <f t="shared" si="88"/>
        <v>1.3499352000000001E-3</v>
      </c>
      <c r="AH266" s="2">
        <f t="shared" si="88"/>
        <v>3.1248499999999997E-5</v>
      </c>
      <c r="AI266" s="2">
        <f t="shared" si="88"/>
        <v>1.2686890999999997E-3</v>
      </c>
      <c r="AJ266" s="2">
        <f t="shared" si="88"/>
        <v>5.4372389999999995E-4</v>
      </c>
      <c r="AK266" s="2">
        <f t="shared" si="88"/>
        <v>1.7499160000000001E-4</v>
      </c>
      <c r="AL266" s="2">
        <f t="shared" si="88"/>
        <v>1.0686986999999999E-3</v>
      </c>
      <c r="AM266" s="2">
        <f t="shared" si="88"/>
        <v>6.2496999999999996E-6</v>
      </c>
      <c r="AN266" s="2">
        <f t="shared" si="88"/>
        <v>0</v>
      </c>
      <c r="AO266" s="2">
        <f t="shared" si="88"/>
        <v>7.4996399999999986E-5</v>
      </c>
      <c r="AP266" s="2">
        <f t="shared" si="88"/>
        <v>1.1249459999999999E-4</v>
      </c>
      <c r="AQ266" s="2">
        <f t="shared" si="88"/>
        <v>0</v>
      </c>
      <c r="AR266" s="2">
        <f t="shared" si="88"/>
        <v>1.2499399999999999E-4</v>
      </c>
      <c r="AS266" s="2">
        <f t="shared" si="88"/>
        <v>4.9372629999999999E-4</v>
      </c>
    </row>
    <row r="267" spans="1:45" hidden="1" x14ac:dyDescent="0.25">
      <c r="A267" s="2" t="s">
        <v>70</v>
      </c>
      <c r="B267" s="54">
        <v>7.8352000000000005E-2</v>
      </c>
      <c r="C267" s="2">
        <f t="shared" si="88"/>
        <v>3.9176000000000006E-5</v>
      </c>
      <c r="D267" s="2">
        <f t="shared" si="88"/>
        <v>1.5670400000000002E-4</v>
      </c>
      <c r="E267" s="2">
        <f t="shared" si="88"/>
        <v>1.5670400000000002E-5</v>
      </c>
      <c r="F267" s="2">
        <f t="shared" si="88"/>
        <v>0</v>
      </c>
      <c r="G267" s="2">
        <f t="shared" si="88"/>
        <v>0</v>
      </c>
      <c r="H267" s="2">
        <f t="shared" si="88"/>
        <v>2.8206720000000001E-4</v>
      </c>
      <c r="I267" s="2">
        <f t="shared" si="88"/>
        <v>1.488688E-4</v>
      </c>
      <c r="J267" s="2">
        <f t="shared" si="88"/>
        <v>2.8206720000000001E-4</v>
      </c>
      <c r="K267" s="2">
        <f t="shared" si="88"/>
        <v>2.5072640000000003E-4</v>
      </c>
      <c r="L267" s="2">
        <f t="shared" si="88"/>
        <v>3.1340800000000003E-5</v>
      </c>
      <c r="M267" s="2">
        <f t="shared" si="88"/>
        <v>1.2536320000000001E-4</v>
      </c>
      <c r="N267" s="2">
        <f t="shared" si="88"/>
        <v>0</v>
      </c>
      <c r="O267" s="2">
        <f t="shared" si="88"/>
        <v>0</v>
      </c>
      <c r="P267" s="2">
        <f t="shared" si="88"/>
        <v>0</v>
      </c>
      <c r="Q267" s="2">
        <f t="shared" si="88"/>
        <v>3.9176000000000006E-4</v>
      </c>
      <c r="R267" s="2">
        <f t="shared" si="88"/>
        <v>2.037152E-4</v>
      </c>
      <c r="S267" s="2">
        <f t="shared" si="88"/>
        <v>4.7011200000000001E-5</v>
      </c>
      <c r="T267" s="2">
        <f t="shared" si="88"/>
        <v>1.488688E-4</v>
      </c>
      <c r="U267" s="2">
        <f t="shared" si="88"/>
        <v>0</v>
      </c>
      <c r="V267" s="2">
        <f t="shared" si="88"/>
        <v>3.2907839999999998E-4</v>
      </c>
      <c r="W267" s="2">
        <f t="shared" si="88"/>
        <v>3.8392480000000001E-4</v>
      </c>
      <c r="X267" s="2">
        <f t="shared" si="88"/>
        <v>7.0516800000000002E-5</v>
      </c>
      <c r="Y267" s="2">
        <f t="shared" si="88"/>
        <v>4.0743039999999999E-4</v>
      </c>
      <c r="Z267" s="2">
        <f t="shared" si="88"/>
        <v>4.2310080000000004E-4</v>
      </c>
      <c r="AA267" s="2">
        <f t="shared" si="88"/>
        <v>4.6227680000000002E-4</v>
      </c>
      <c r="AB267" s="2">
        <f t="shared" si="88"/>
        <v>2.5856160000000002E-4</v>
      </c>
      <c r="AC267" s="2">
        <f t="shared" si="88"/>
        <v>9.4022400000000003E-5</v>
      </c>
      <c r="AD267" s="2">
        <f t="shared" si="88"/>
        <v>5.092880000000001E-4</v>
      </c>
      <c r="AE267" s="2">
        <f t="shared" si="88"/>
        <v>4.1526560000000004E-4</v>
      </c>
      <c r="AF267" s="2">
        <f t="shared" si="88"/>
        <v>0</v>
      </c>
      <c r="AG267" s="2">
        <f t="shared" si="88"/>
        <v>3.0557280000000005E-4</v>
      </c>
      <c r="AH267" s="2">
        <f t="shared" si="88"/>
        <v>0</v>
      </c>
      <c r="AI267" s="2">
        <f t="shared" si="88"/>
        <v>3.4474880000000003E-4</v>
      </c>
      <c r="AJ267" s="2">
        <f t="shared" si="88"/>
        <v>2.1938560000000004E-4</v>
      </c>
      <c r="AK267" s="2">
        <f t="shared" si="88"/>
        <v>2.3505600000000001E-5</v>
      </c>
      <c r="AL267" s="2">
        <f t="shared" si="88"/>
        <v>1.018576E-4</v>
      </c>
      <c r="AM267" s="2">
        <f t="shared" si="88"/>
        <v>0</v>
      </c>
      <c r="AN267" s="2">
        <f t="shared" si="88"/>
        <v>0</v>
      </c>
      <c r="AO267" s="2">
        <f t="shared" si="88"/>
        <v>7.8352000000000008E-6</v>
      </c>
      <c r="AP267" s="2">
        <f t="shared" si="88"/>
        <v>7.8352000000000008E-6</v>
      </c>
      <c r="AQ267" s="2">
        <f t="shared" si="88"/>
        <v>0</v>
      </c>
      <c r="AR267" s="2">
        <f t="shared" si="88"/>
        <v>2.3505600000000001E-5</v>
      </c>
      <c r="AS267" s="2">
        <f t="shared" si="88"/>
        <v>2.3505600000000001E-5</v>
      </c>
    </row>
    <row r="268" spans="1:45" hidden="1" x14ac:dyDescent="0.25">
      <c r="A268" s="2" t="s">
        <v>71</v>
      </c>
      <c r="B268" s="54">
        <v>7.6874999999999999E-2</v>
      </c>
      <c r="C268" s="2">
        <f t="shared" si="88"/>
        <v>3.0750000000000002E-5</v>
      </c>
      <c r="D268" s="2">
        <f t="shared" si="88"/>
        <v>2.2293749999999999E-4</v>
      </c>
      <c r="E268" s="2">
        <f t="shared" si="88"/>
        <v>7.6875000000000005E-6</v>
      </c>
      <c r="F268" s="2">
        <f t="shared" si="88"/>
        <v>0</v>
      </c>
      <c r="G268" s="2">
        <f t="shared" si="88"/>
        <v>0</v>
      </c>
      <c r="H268" s="2">
        <f t="shared" si="88"/>
        <v>3.3825000000000001E-4</v>
      </c>
      <c r="I268" s="2">
        <f t="shared" si="88"/>
        <v>1.69125E-4</v>
      </c>
      <c r="J268" s="2">
        <f t="shared" si="88"/>
        <v>3.9974999999999999E-4</v>
      </c>
      <c r="K268" s="2">
        <f t="shared" si="88"/>
        <v>3.2287499999999997E-4</v>
      </c>
      <c r="L268" s="2">
        <f t="shared" si="88"/>
        <v>2.3062499999999998E-5</v>
      </c>
      <c r="M268" s="2">
        <f t="shared" si="88"/>
        <v>1.0762500000000001E-4</v>
      </c>
      <c r="N268" s="2">
        <f t="shared" si="88"/>
        <v>0</v>
      </c>
      <c r="O268" s="2">
        <f t="shared" si="88"/>
        <v>0</v>
      </c>
      <c r="P268" s="2">
        <f t="shared" si="88"/>
        <v>0</v>
      </c>
      <c r="Q268" s="2">
        <f t="shared" si="88"/>
        <v>5.150625E-4</v>
      </c>
      <c r="R268" s="2">
        <f t="shared" si="88"/>
        <v>2.4600000000000002E-4</v>
      </c>
      <c r="S268" s="2">
        <f t="shared" si="88"/>
        <v>2.3062499999999998E-5</v>
      </c>
      <c r="T268" s="2">
        <f t="shared" si="88"/>
        <v>6.9187499999999994E-5</v>
      </c>
      <c r="U268" s="2">
        <f t="shared" si="88"/>
        <v>0</v>
      </c>
      <c r="V268" s="2">
        <f t="shared" si="88"/>
        <v>2.9212500000000001E-4</v>
      </c>
      <c r="W268" s="2">
        <f t="shared" si="88"/>
        <v>4.6125000000000002E-4</v>
      </c>
      <c r="X268" s="2">
        <f t="shared" si="88"/>
        <v>8.4562500000000002E-5</v>
      </c>
      <c r="Y268" s="2">
        <f t="shared" si="88"/>
        <v>4.9200000000000003E-4</v>
      </c>
      <c r="Z268" s="2">
        <f t="shared" si="88"/>
        <v>4.0743749999999998E-4</v>
      </c>
      <c r="AA268" s="2">
        <f t="shared" si="88"/>
        <v>3.0749999999999999E-4</v>
      </c>
      <c r="AB268" s="2">
        <f t="shared" si="88"/>
        <v>2.4600000000000002E-4</v>
      </c>
      <c r="AC268" s="2">
        <f t="shared" si="88"/>
        <v>2.1525000000000003E-4</v>
      </c>
      <c r="AD268" s="2">
        <f t="shared" si="88"/>
        <v>4.6893749999999995E-4</v>
      </c>
      <c r="AE268" s="2">
        <f t="shared" si="88"/>
        <v>4.76625E-4</v>
      </c>
      <c r="AF268" s="2">
        <f t="shared" si="88"/>
        <v>0</v>
      </c>
      <c r="AG268" s="2">
        <f t="shared" si="88"/>
        <v>4.5356249999999997E-4</v>
      </c>
      <c r="AH268" s="2">
        <f t="shared" si="88"/>
        <v>0</v>
      </c>
      <c r="AI268" s="2">
        <f t="shared" si="88"/>
        <v>3.8437500000000001E-4</v>
      </c>
      <c r="AJ268" s="2">
        <f t="shared" si="88"/>
        <v>1.8449999999999999E-4</v>
      </c>
      <c r="AK268" s="2">
        <f t="shared" si="88"/>
        <v>1.5375000000000001E-5</v>
      </c>
      <c r="AL268" s="2">
        <f t="shared" si="88"/>
        <v>1.306875E-4</v>
      </c>
      <c r="AM268" s="2">
        <f t="shared" si="88"/>
        <v>0</v>
      </c>
      <c r="AN268" s="2">
        <f t="shared" si="88"/>
        <v>0</v>
      </c>
      <c r="AO268" s="2">
        <f t="shared" si="88"/>
        <v>7.6875000000000005E-6</v>
      </c>
      <c r="AP268" s="2">
        <f t="shared" si="88"/>
        <v>7.6875000000000005E-6</v>
      </c>
      <c r="AQ268" s="2">
        <f t="shared" si="88"/>
        <v>0</v>
      </c>
      <c r="AR268" s="2">
        <f t="shared" si="88"/>
        <v>2.3062499999999998E-5</v>
      </c>
      <c r="AS268" s="2">
        <f t="shared" si="88"/>
        <v>3.0750000000000002E-5</v>
      </c>
    </row>
    <row r="269" spans="1:45" hidden="1" x14ac:dyDescent="0.25">
      <c r="A269" s="2" t="s">
        <v>72</v>
      </c>
      <c r="B269" s="54">
        <v>9.1720999999999997E-2</v>
      </c>
      <c r="C269" s="2">
        <f t="shared" si="88"/>
        <v>7.3376799999999999E-5</v>
      </c>
      <c r="D269" s="2">
        <f t="shared" si="88"/>
        <v>0</v>
      </c>
      <c r="E269" s="2">
        <f t="shared" si="88"/>
        <v>0</v>
      </c>
      <c r="F269" s="2">
        <f t="shared" si="88"/>
        <v>0</v>
      </c>
      <c r="G269" s="2">
        <f t="shared" si="88"/>
        <v>0</v>
      </c>
      <c r="H269" s="2">
        <f t="shared" si="88"/>
        <v>0</v>
      </c>
      <c r="I269" s="2">
        <f t="shared" si="88"/>
        <v>3.6688399999999999E-5</v>
      </c>
      <c r="J269" s="2">
        <f t="shared" si="88"/>
        <v>3.6688399999999999E-5</v>
      </c>
      <c r="K269" s="2">
        <f t="shared" si="88"/>
        <v>6.4204700000000005E-5</v>
      </c>
      <c r="L269" s="2">
        <f t="shared" si="88"/>
        <v>0</v>
      </c>
      <c r="M269" s="2">
        <f t="shared" si="88"/>
        <v>1.83442E-5</v>
      </c>
      <c r="N269" s="2">
        <f t="shared" si="88"/>
        <v>0</v>
      </c>
      <c r="O269" s="2">
        <f t="shared" si="88"/>
        <v>0</v>
      </c>
      <c r="P269" s="2">
        <f t="shared" si="88"/>
        <v>0</v>
      </c>
      <c r="Q269" s="2">
        <f t="shared" si="88"/>
        <v>3.6688399999999999E-5</v>
      </c>
      <c r="R269" s="2">
        <f t="shared" si="88"/>
        <v>3.6688399999999999E-5</v>
      </c>
      <c r="S269" s="2">
        <f t="shared" si="88"/>
        <v>1.83442E-5</v>
      </c>
      <c r="T269" s="2">
        <f t="shared" si="88"/>
        <v>2.7516299999999996E-5</v>
      </c>
      <c r="U269" s="2">
        <f t="shared" si="88"/>
        <v>0</v>
      </c>
      <c r="V269" s="2">
        <f t="shared" si="88"/>
        <v>0</v>
      </c>
      <c r="W269" s="2">
        <f t="shared" si="88"/>
        <v>1.83442E-5</v>
      </c>
      <c r="X269" s="2">
        <f t="shared" si="88"/>
        <v>1.83442E-5</v>
      </c>
      <c r="Y269" s="2">
        <f t="shared" si="88"/>
        <v>5.5032599999999992E-5</v>
      </c>
      <c r="Z269" s="2">
        <f t="shared" si="88"/>
        <v>1.83442E-5</v>
      </c>
      <c r="AA269" s="2">
        <f t="shared" si="88"/>
        <v>1.83442E-5</v>
      </c>
      <c r="AB269" s="2">
        <f t="shared" si="88"/>
        <v>0</v>
      </c>
      <c r="AC269" s="2">
        <f t="shared" si="88"/>
        <v>1.83442E-5</v>
      </c>
      <c r="AD269" s="2">
        <f t="shared" si="88"/>
        <v>1.83442E-5</v>
      </c>
      <c r="AE269" s="2">
        <f t="shared" si="88"/>
        <v>5.5032599999999992E-5</v>
      </c>
      <c r="AF269" s="2">
        <f t="shared" si="88"/>
        <v>0</v>
      </c>
      <c r="AG269" s="2">
        <f t="shared" si="88"/>
        <v>0</v>
      </c>
      <c r="AH269" s="2">
        <f t="shared" si="88"/>
        <v>0</v>
      </c>
      <c r="AI269" s="2">
        <f t="shared" si="88"/>
        <v>1.83442E-5</v>
      </c>
      <c r="AJ269" s="2">
        <f t="shared" si="88"/>
        <v>0</v>
      </c>
      <c r="AK269" s="2">
        <f t="shared" si="88"/>
        <v>0</v>
      </c>
      <c r="AL269" s="2">
        <f t="shared" si="88"/>
        <v>0</v>
      </c>
      <c r="AM269" s="2">
        <f t="shared" si="88"/>
        <v>0</v>
      </c>
      <c r="AN269" s="2">
        <f t="shared" si="88"/>
        <v>0</v>
      </c>
      <c r="AO269" s="2">
        <f t="shared" si="88"/>
        <v>0</v>
      </c>
      <c r="AP269" s="2">
        <f t="shared" si="88"/>
        <v>0</v>
      </c>
      <c r="AQ269" s="2">
        <f t="shared" ref="AQ269:AS269" si="89">AQ10/100*$B269</f>
        <v>0</v>
      </c>
      <c r="AR269" s="2">
        <f t="shared" si="89"/>
        <v>9.1720999999999998E-6</v>
      </c>
      <c r="AS269" s="2">
        <f t="shared" si="89"/>
        <v>0</v>
      </c>
    </row>
    <row r="270" spans="1:45" hidden="1" x14ac:dyDescent="0.25">
      <c r="A270" s="2" t="s">
        <v>73</v>
      </c>
      <c r="B270" s="54">
        <v>9.1582999999999998E-2</v>
      </c>
      <c r="C270" s="2">
        <f t="shared" ref="C270:AS274" si="90">C11/100*$B270</f>
        <v>2.7474899999999997E-5</v>
      </c>
      <c r="D270" s="2">
        <f t="shared" si="90"/>
        <v>0</v>
      </c>
      <c r="E270" s="2">
        <f t="shared" si="90"/>
        <v>0</v>
      </c>
      <c r="F270" s="2">
        <f t="shared" si="90"/>
        <v>0</v>
      </c>
      <c r="G270" s="2">
        <f t="shared" si="90"/>
        <v>0</v>
      </c>
      <c r="H270" s="2">
        <f t="shared" si="90"/>
        <v>0</v>
      </c>
      <c r="I270" s="2">
        <f t="shared" si="90"/>
        <v>9.1583000000000001E-6</v>
      </c>
      <c r="J270" s="2">
        <f t="shared" si="90"/>
        <v>9.1583000000000001E-6</v>
      </c>
      <c r="K270" s="2">
        <f t="shared" si="90"/>
        <v>1.83166E-5</v>
      </c>
      <c r="L270" s="2">
        <f t="shared" si="90"/>
        <v>0</v>
      </c>
      <c r="M270" s="2">
        <f t="shared" si="90"/>
        <v>9.1583000000000001E-6</v>
      </c>
      <c r="N270" s="2">
        <f t="shared" si="90"/>
        <v>0</v>
      </c>
      <c r="O270" s="2">
        <f t="shared" si="90"/>
        <v>0</v>
      </c>
      <c r="P270" s="2">
        <f t="shared" si="90"/>
        <v>0</v>
      </c>
      <c r="Q270" s="2">
        <f t="shared" si="90"/>
        <v>1.83166E-5</v>
      </c>
      <c r="R270" s="2">
        <f t="shared" si="90"/>
        <v>1.83166E-5</v>
      </c>
      <c r="S270" s="2">
        <f t="shared" si="90"/>
        <v>0</v>
      </c>
      <c r="T270" s="2">
        <f t="shared" si="90"/>
        <v>0</v>
      </c>
      <c r="U270" s="2">
        <f t="shared" si="90"/>
        <v>0</v>
      </c>
      <c r="V270" s="2">
        <f t="shared" si="90"/>
        <v>0</v>
      </c>
      <c r="W270" s="2">
        <f t="shared" si="90"/>
        <v>0</v>
      </c>
      <c r="X270" s="2">
        <f t="shared" si="90"/>
        <v>0</v>
      </c>
      <c r="Y270" s="2">
        <f t="shared" si="90"/>
        <v>9.1583000000000001E-6</v>
      </c>
      <c r="Z270" s="2">
        <f t="shared" si="90"/>
        <v>0</v>
      </c>
      <c r="AA270" s="2">
        <f t="shared" si="90"/>
        <v>9.1583000000000001E-6</v>
      </c>
      <c r="AB270" s="2">
        <f t="shared" si="90"/>
        <v>9.1583000000000001E-6</v>
      </c>
      <c r="AC270" s="2">
        <f t="shared" si="90"/>
        <v>0</v>
      </c>
      <c r="AD270" s="2">
        <f t="shared" si="90"/>
        <v>0</v>
      </c>
      <c r="AE270" s="2">
        <f t="shared" si="90"/>
        <v>1.83166E-5</v>
      </c>
      <c r="AF270" s="2">
        <f t="shared" si="90"/>
        <v>0</v>
      </c>
      <c r="AG270" s="2">
        <f t="shared" si="90"/>
        <v>0</v>
      </c>
      <c r="AH270" s="2">
        <f t="shared" si="90"/>
        <v>0</v>
      </c>
      <c r="AI270" s="2">
        <f t="shared" si="90"/>
        <v>0</v>
      </c>
      <c r="AJ270" s="2">
        <f t="shared" si="90"/>
        <v>0</v>
      </c>
      <c r="AK270" s="2">
        <f t="shared" si="90"/>
        <v>0</v>
      </c>
      <c r="AL270" s="2">
        <f t="shared" si="90"/>
        <v>0</v>
      </c>
      <c r="AM270" s="2">
        <f t="shared" si="90"/>
        <v>0</v>
      </c>
      <c r="AN270" s="2">
        <f t="shared" si="90"/>
        <v>0</v>
      </c>
      <c r="AO270" s="2">
        <f t="shared" si="90"/>
        <v>0</v>
      </c>
      <c r="AP270" s="2">
        <f t="shared" si="90"/>
        <v>0</v>
      </c>
      <c r="AQ270" s="2">
        <f t="shared" si="90"/>
        <v>0</v>
      </c>
      <c r="AR270" s="2">
        <f t="shared" si="90"/>
        <v>0</v>
      </c>
      <c r="AS270" s="2">
        <f t="shared" si="90"/>
        <v>0</v>
      </c>
    </row>
    <row r="271" spans="1:45" hidden="1" x14ac:dyDescent="0.25">
      <c r="A271" s="2" t="s">
        <v>74</v>
      </c>
      <c r="B271" s="54">
        <v>0.10489</v>
      </c>
      <c r="C271" s="2">
        <f t="shared" si="90"/>
        <v>0</v>
      </c>
      <c r="D271" s="2">
        <f t="shared" si="90"/>
        <v>0</v>
      </c>
      <c r="E271" s="2">
        <f t="shared" si="90"/>
        <v>0</v>
      </c>
      <c r="F271" s="2">
        <f t="shared" si="90"/>
        <v>0</v>
      </c>
      <c r="G271" s="2">
        <f t="shared" si="90"/>
        <v>0</v>
      </c>
      <c r="H271" s="2">
        <f t="shared" si="90"/>
        <v>0</v>
      </c>
      <c r="I271" s="2">
        <f t="shared" si="90"/>
        <v>0</v>
      </c>
      <c r="J271" s="2">
        <f t="shared" si="90"/>
        <v>0</v>
      </c>
      <c r="K271" s="2">
        <f t="shared" si="90"/>
        <v>0</v>
      </c>
      <c r="L271" s="2">
        <f t="shared" si="90"/>
        <v>0</v>
      </c>
      <c r="M271" s="2">
        <f t="shared" si="90"/>
        <v>0</v>
      </c>
      <c r="N271" s="2">
        <f t="shared" si="90"/>
        <v>0</v>
      </c>
      <c r="O271" s="2">
        <f t="shared" si="90"/>
        <v>0</v>
      </c>
      <c r="P271" s="2">
        <f t="shared" si="90"/>
        <v>0</v>
      </c>
      <c r="Q271" s="2">
        <f t="shared" si="90"/>
        <v>0</v>
      </c>
      <c r="R271" s="2">
        <f t="shared" si="90"/>
        <v>1.0489000000000001E-5</v>
      </c>
      <c r="S271" s="2">
        <f t="shared" si="90"/>
        <v>0</v>
      </c>
      <c r="T271" s="2">
        <f t="shared" si="90"/>
        <v>0</v>
      </c>
      <c r="U271" s="2">
        <f t="shared" si="90"/>
        <v>0</v>
      </c>
      <c r="V271" s="2">
        <f t="shared" si="90"/>
        <v>0</v>
      </c>
      <c r="W271" s="2">
        <f t="shared" si="90"/>
        <v>0</v>
      </c>
      <c r="X271" s="2">
        <f t="shared" si="90"/>
        <v>0</v>
      </c>
      <c r="Y271" s="2">
        <f t="shared" si="90"/>
        <v>0</v>
      </c>
      <c r="Z271" s="2">
        <f t="shared" si="90"/>
        <v>0</v>
      </c>
      <c r="AA271" s="2">
        <f t="shared" si="90"/>
        <v>0</v>
      </c>
      <c r="AB271" s="2">
        <f t="shared" si="90"/>
        <v>0</v>
      </c>
      <c r="AC271" s="2">
        <f t="shared" si="90"/>
        <v>0</v>
      </c>
      <c r="AD271" s="2">
        <f t="shared" si="90"/>
        <v>0</v>
      </c>
      <c r="AE271" s="2">
        <f t="shared" si="90"/>
        <v>0</v>
      </c>
      <c r="AF271" s="2">
        <f t="shared" si="90"/>
        <v>0</v>
      </c>
      <c r="AG271" s="2">
        <f t="shared" si="90"/>
        <v>0</v>
      </c>
      <c r="AH271" s="2">
        <f t="shared" si="90"/>
        <v>0</v>
      </c>
      <c r="AI271" s="2">
        <f t="shared" si="90"/>
        <v>0</v>
      </c>
      <c r="AJ271" s="2">
        <f t="shared" si="90"/>
        <v>0</v>
      </c>
      <c r="AK271" s="2">
        <f t="shared" si="90"/>
        <v>0</v>
      </c>
      <c r="AL271" s="2">
        <f t="shared" si="90"/>
        <v>0</v>
      </c>
      <c r="AM271" s="2">
        <f t="shared" si="90"/>
        <v>0</v>
      </c>
      <c r="AN271" s="2">
        <f t="shared" si="90"/>
        <v>0</v>
      </c>
      <c r="AO271" s="2">
        <f t="shared" si="90"/>
        <v>0</v>
      </c>
      <c r="AP271" s="2">
        <f t="shared" si="90"/>
        <v>0</v>
      </c>
      <c r="AQ271" s="2">
        <f t="shared" si="90"/>
        <v>0</v>
      </c>
      <c r="AR271" s="2">
        <f t="shared" si="90"/>
        <v>0</v>
      </c>
      <c r="AS271" s="2">
        <f t="shared" si="90"/>
        <v>0</v>
      </c>
    </row>
    <row r="272" spans="1:45" hidden="1" x14ac:dyDescent="0.25">
      <c r="A272" s="2" t="s">
        <v>75</v>
      </c>
      <c r="B272" s="54">
        <v>4.7018999999999998E-2</v>
      </c>
      <c r="C272" s="2">
        <f t="shared" si="90"/>
        <v>1.8337410000000002E-4</v>
      </c>
      <c r="D272" s="2">
        <f t="shared" si="90"/>
        <v>3.6674820000000003E-4</v>
      </c>
      <c r="E272" s="2">
        <f t="shared" si="90"/>
        <v>3.103254E-4</v>
      </c>
      <c r="F272" s="2">
        <f t="shared" si="90"/>
        <v>1.598646E-4</v>
      </c>
      <c r="G272" s="2">
        <f t="shared" si="90"/>
        <v>2.8211399999999996E-5</v>
      </c>
      <c r="H272" s="2">
        <f t="shared" si="90"/>
        <v>6.1124700000000001E-5</v>
      </c>
      <c r="I272" s="2">
        <f t="shared" si="90"/>
        <v>9.8739899999999986E-5</v>
      </c>
      <c r="J272" s="2">
        <f t="shared" si="90"/>
        <v>2.3509499999999999E-5</v>
      </c>
      <c r="K272" s="2">
        <f t="shared" si="90"/>
        <v>1.1284559999999998E-4</v>
      </c>
      <c r="L272" s="2">
        <f t="shared" si="90"/>
        <v>5.6422799999999991E-5</v>
      </c>
      <c r="M272" s="2">
        <f t="shared" si="90"/>
        <v>5.6422799999999991E-5</v>
      </c>
      <c r="N272" s="2">
        <f t="shared" si="90"/>
        <v>6.1124700000000001E-5</v>
      </c>
      <c r="O272" s="2">
        <f t="shared" si="90"/>
        <v>7.99323E-5</v>
      </c>
      <c r="P272" s="2">
        <f t="shared" si="90"/>
        <v>5.6422799999999991E-5</v>
      </c>
      <c r="Q272" s="2">
        <f t="shared" si="90"/>
        <v>2.3509499999999999E-5</v>
      </c>
      <c r="R272" s="2">
        <f t="shared" si="90"/>
        <v>1.3165320000000001E-4</v>
      </c>
      <c r="S272" s="2">
        <f t="shared" si="90"/>
        <v>1.4105699999999998E-5</v>
      </c>
      <c r="T272" s="2">
        <f t="shared" si="90"/>
        <v>4.7018999999999998E-6</v>
      </c>
      <c r="U272" s="2">
        <f t="shared" si="90"/>
        <v>4.7018999999999998E-6</v>
      </c>
      <c r="V272" s="2">
        <f t="shared" si="90"/>
        <v>3.7615199999999999E-5</v>
      </c>
      <c r="W272" s="2">
        <f t="shared" si="90"/>
        <v>9.4037999999999996E-6</v>
      </c>
      <c r="X272" s="2">
        <f t="shared" si="90"/>
        <v>1.4575889999999999E-4</v>
      </c>
      <c r="Y272" s="2">
        <f t="shared" si="90"/>
        <v>1.3165320000000001E-4</v>
      </c>
      <c r="Z272" s="2">
        <f t="shared" si="90"/>
        <v>1.0814369999999999E-4</v>
      </c>
      <c r="AA272" s="2">
        <f t="shared" si="90"/>
        <v>5.1720900000000001E-5</v>
      </c>
      <c r="AB272" s="2">
        <f t="shared" si="90"/>
        <v>1.4105699999999998E-5</v>
      </c>
      <c r="AC272" s="2">
        <f t="shared" si="90"/>
        <v>3.6204629999999998E-4</v>
      </c>
      <c r="AD272" s="2">
        <f t="shared" si="90"/>
        <v>1.222494E-4</v>
      </c>
      <c r="AE272" s="2">
        <f t="shared" si="90"/>
        <v>1.7397030000000001E-4</v>
      </c>
      <c r="AF272" s="2">
        <f t="shared" si="90"/>
        <v>3.2913299999999995E-4</v>
      </c>
      <c r="AG272" s="2">
        <f t="shared" si="90"/>
        <v>2.5390260000000001E-4</v>
      </c>
      <c r="AH272" s="2">
        <f t="shared" si="90"/>
        <v>1.551627E-4</v>
      </c>
      <c r="AI272" s="2">
        <f t="shared" si="90"/>
        <v>3.2913300000000002E-5</v>
      </c>
      <c r="AJ272" s="2">
        <f t="shared" si="90"/>
        <v>1.2695130000000001E-4</v>
      </c>
      <c r="AK272" s="2">
        <f t="shared" si="90"/>
        <v>4.7018999999999998E-6</v>
      </c>
      <c r="AL272" s="2">
        <f t="shared" si="90"/>
        <v>1.8337410000000002E-4</v>
      </c>
      <c r="AM272" s="2">
        <f t="shared" si="90"/>
        <v>7.99323E-5</v>
      </c>
      <c r="AN272" s="2">
        <f t="shared" si="90"/>
        <v>0</v>
      </c>
      <c r="AO272" s="2">
        <f t="shared" si="90"/>
        <v>3.2913300000000002E-5</v>
      </c>
      <c r="AP272" s="2">
        <f t="shared" si="90"/>
        <v>5.6422799999999991E-5</v>
      </c>
      <c r="AQ272" s="2">
        <f t="shared" si="90"/>
        <v>0</v>
      </c>
      <c r="AR272" s="2">
        <f t="shared" si="90"/>
        <v>2.8211399999999996E-5</v>
      </c>
      <c r="AS272" s="2">
        <f t="shared" si="90"/>
        <v>1.4105699999999998E-5</v>
      </c>
    </row>
    <row r="273" spans="1:45" hidden="1" x14ac:dyDescent="0.25">
      <c r="A273" s="2" t="s">
        <v>76</v>
      </c>
      <c r="B273" s="54">
        <v>2.7199999999999998E-2</v>
      </c>
      <c r="C273" s="2">
        <f t="shared" si="90"/>
        <v>0</v>
      </c>
      <c r="D273" s="2">
        <f t="shared" si="90"/>
        <v>0</v>
      </c>
      <c r="E273" s="2">
        <f t="shared" si="90"/>
        <v>0</v>
      </c>
      <c r="F273" s="2">
        <f t="shared" si="90"/>
        <v>0</v>
      </c>
      <c r="G273" s="2">
        <f t="shared" si="90"/>
        <v>0</v>
      </c>
      <c r="H273" s="2">
        <f t="shared" si="90"/>
        <v>0</v>
      </c>
      <c r="I273" s="2">
        <f t="shared" si="90"/>
        <v>0</v>
      </c>
      <c r="J273" s="2">
        <f t="shared" si="90"/>
        <v>0</v>
      </c>
      <c r="K273" s="2">
        <f t="shared" si="90"/>
        <v>0</v>
      </c>
      <c r="L273" s="2">
        <f t="shared" si="90"/>
        <v>0</v>
      </c>
      <c r="M273" s="2">
        <f t="shared" si="90"/>
        <v>0</v>
      </c>
      <c r="N273" s="2">
        <f t="shared" si="90"/>
        <v>0</v>
      </c>
      <c r="O273" s="2">
        <f t="shared" si="90"/>
        <v>0</v>
      </c>
      <c r="P273" s="2">
        <f t="shared" si="90"/>
        <v>0</v>
      </c>
      <c r="Q273" s="2">
        <f t="shared" si="90"/>
        <v>0</v>
      </c>
      <c r="R273" s="2">
        <f t="shared" si="90"/>
        <v>0</v>
      </c>
      <c r="S273" s="2">
        <f t="shared" si="90"/>
        <v>0</v>
      </c>
      <c r="T273" s="2">
        <f t="shared" si="90"/>
        <v>0</v>
      </c>
      <c r="U273" s="2">
        <f t="shared" si="90"/>
        <v>0</v>
      </c>
      <c r="V273" s="2">
        <f t="shared" si="90"/>
        <v>0</v>
      </c>
      <c r="W273" s="2">
        <f t="shared" si="90"/>
        <v>0</v>
      </c>
      <c r="X273" s="2">
        <f t="shared" si="90"/>
        <v>0</v>
      </c>
      <c r="Y273" s="2">
        <f t="shared" si="90"/>
        <v>0</v>
      </c>
      <c r="Z273" s="2">
        <f t="shared" si="90"/>
        <v>0</v>
      </c>
      <c r="AA273" s="2">
        <f t="shared" si="90"/>
        <v>0</v>
      </c>
      <c r="AB273" s="2">
        <f t="shared" si="90"/>
        <v>0</v>
      </c>
      <c r="AC273" s="2">
        <f t="shared" si="90"/>
        <v>0</v>
      </c>
      <c r="AD273" s="2">
        <f t="shared" si="90"/>
        <v>0</v>
      </c>
      <c r="AE273" s="2">
        <f t="shared" si="90"/>
        <v>0</v>
      </c>
      <c r="AF273" s="2">
        <f t="shared" si="90"/>
        <v>0</v>
      </c>
      <c r="AG273" s="2">
        <f t="shared" si="90"/>
        <v>0</v>
      </c>
      <c r="AH273" s="2">
        <f t="shared" si="90"/>
        <v>0</v>
      </c>
      <c r="AI273" s="2">
        <f t="shared" si="90"/>
        <v>0</v>
      </c>
      <c r="AJ273" s="2">
        <f t="shared" si="90"/>
        <v>0</v>
      </c>
      <c r="AK273" s="2">
        <f t="shared" si="90"/>
        <v>0</v>
      </c>
      <c r="AL273" s="2">
        <f t="shared" si="90"/>
        <v>0</v>
      </c>
      <c r="AM273" s="2">
        <f t="shared" si="90"/>
        <v>0</v>
      </c>
      <c r="AN273" s="2">
        <f t="shared" si="90"/>
        <v>0</v>
      </c>
      <c r="AO273" s="2">
        <f t="shared" si="90"/>
        <v>0</v>
      </c>
      <c r="AP273" s="2">
        <f t="shared" si="90"/>
        <v>0</v>
      </c>
      <c r="AQ273" s="2">
        <f t="shared" si="90"/>
        <v>0</v>
      </c>
      <c r="AR273" s="2">
        <f t="shared" si="90"/>
        <v>0</v>
      </c>
      <c r="AS273" s="2">
        <f t="shared" si="90"/>
        <v>0</v>
      </c>
    </row>
    <row r="274" spans="1:45" hidden="1" x14ac:dyDescent="0.25">
      <c r="A274" s="2" t="s">
        <v>77</v>
      </c>
      <c r="B274" s="54">
        <v>3.1510000000000003E-2</v>
      </c>
      <c r="C274" s="2">
        <f t="shared" si="90"/>
        <v>0</v>
      </c>
      <c r="D274" s="2">
        <f t="shared" si="90"/>
        <v>0</v>
      </c>
      <c r="E274" s="2">
        <f t="shared" si="90"/>
        <v>0</v>
      </c>
      <c r="F274" s="2">
        <f t="shared" si="90"/>
        <v>0</v>
      </c>
      <c r="G274" s="2">
        <f t="shared" si="90"/>
        <v>0</v>
      </c>
      <c r="H274" s="2">
        <f t="shared" si="90"/>
        <v>0</v>
      </c>
      <c r="I274" s="2">
        <f t="shared" si="90"/>
        <v>0</v>
      </c>
      <c r="J274" s="2">
        <f t="shared" si="90"/>
        <v>0</v>
      </c>
      <c r="K274" s="2">
        <f t="shared" si="90"/>
        <v>0</v>
      </c>
      <c r="L274" s="2">
        <f t="shared" si="90"/>
        <v>0</v>
      </c>
      <c r="M274" s="2">
        <f t="shared" si="90"/>
        <v>0</v>
      </c>
      <c r="N274" s="2">
        <f t="shared" si="90"/>
        <v>0</v>
      </c>
      <c r="O274" s="2">
        <f t="shared" si="90"/>
        <v>0</v>
      </c>
      <c r="P274" s="2">
        <f t="shared" si="90"/>
        <v>0</v>
      </c>
      <c r="Q274" s="2">
        <f t="shared" si="90"/>
        <v>0</v>
      </c>
      <c r="R274" s="2">
        <f t="shared" si="90"/>
        <v>0</v>
      </c>
      <c r="S274" s="2">
        <f t="shared" si="90"/>
        <v>0</v>
      </c>
      <c r="T274" s="2">
        <f t="shared" si="90"/>
        <v>0</v>
      </c>
      <c r="U274" s="2">
        <f t="shared" si="90"/>
        <v>0</v>
      </c>
      <c r="V274" s="2">
        <f t="shared" si="90"/>
        <v>0</v>
      </c>
      <c r="W274" s="2">
        <f t="shared" si="90"/>
        <v>0</v>
      </c>
      <c r="X274" s="2">
        <f t="shared" si="90"/>
        <v>0</v>
      </c>
      <c r="Y274" s="2">
        <f t="shared" si="90"/>
        <v>3.1510000000000004E-6</v>
      </c>
      <c r="Z274" s="2">
        <f t="shared" si="90"/>
        <v>0</v>
      </c>
      <c r="AA274" s="2">
        <f t="shared" si="90"/>
        <v>0</v>
      </c>
      <c r="AB274" s="2">
        <f t="shared" si="90"/>
        <v>0</v>
      </c>
      <c r="AC274" s="2">
        <f t="shared" si="90"/>
        <v>0</v>
      </c>
      <c r="AD274" s="2">
        <f t="shared" si="90"/>
        <v>0</v>
      </c>
      <c r="AE274" s="2">
        <f t="shared" si="90"/>
        <v>0</v>
      </c>
      <c r="AF274" s="2">
        <f t="shared" si="90"/>
        <v>0</v>
      </c>
      <c r="AG274" s="2">
        <f t="shared" si="90"/>
        <v>0</v>
      </c>
      <c r="AH274" s="2">
        <f t="shared" si="90"/>
        <v>0</v>
      </c>
      <c r="AI274" s="2">
        <f t="shared" si="90"/>
        <v>0</v>
      </c>
      <c r="AJ274" s="2">
        <f t="shared" si="90"/>
        <v>0</v>
      </c>
      <c r="AK274" s="2">
        <f t="shared" si="90"/>
        <v>0</v>
      </c>
      <c r="AL274" s="2">
        <f t="shared" si="90"/>
        <v>0</v>
      </c>
      <c r="AM274" s="2">
        <f t="shared" si="90"/>
        <v>0</v>
      </c>
      <c r="AN274" s="2">
        <f t="shared" si="90"/>
        <v>0</v>
      </c>
      <c r="AO274" s="2">
        <f t="shared" si="90"/>
        <v>0</v>
      </c>
      <c r="AP274" s="2">
        <f t="shared" si="90"/>
        <v>0</v>
      </c>
      <c r="AQ274" s="2">
        <f t="shared" si="90"/>
        <v>0</v>
      </c>
      <c r="AR274" s="2">
        <f t="shared" si="90"/>
        <v>0</v>
      </c>
      <c r="AS274" s="2">
        <f t="shared" si="90"/>
        <v>0</v>
      </c>
    </row>
    <row r="275" spans="1:45" hidden="1" x14ac:dyDescent="0.25">
      <c r="A275" s="2" t="s">
        <v>78</v>
      </c>
      <c r="C275" s="2">
        <f>SUM(C264:C274)</f>
        <v>3.9417738699999996E-2</v>
      </c>
      <c r="D275" s="2">
        <f t="shared" ref="D275:AS275" si="91">SUM(D264:D274)</f>
        <v>3.9639114800000007E-2</v>
      </c>
      <c r="E275" s="2">
        <f>SUM(E264:E274)</f>
        <v>3.9120314499999996E-2</v>
      </c>
      <c r="F275" s="2">
        <f>SUM(F264:F274)</f>
        <v>3.8962094900000008E-2</v>
      </c>
      <c r="G275" s="2">
        <f t="shared" si="91"/>
        <v>3.8982621499999995E-2</v>
      </c>
      <c r="H275" s="2">
        <f>SUM(H264:H274)</f>
        <v>3.9399123000000001E-2</v>
      </c>
      <c r="I275" s="2">
        <f>SUM(I264:I274)</f>
        <v>3.8955055599999996E-2</v>
      </c>
      <c r="J275" s="2">
        <f>SUM(J264:J274)</f>
        <v>3.9954283799999983E-2</v>
      </c>
      <c r="K275" s="2">
        <f t="shared" si="91"/>
        <v>3.9376656599999997E-2</v>
      </c>
      <c r="L275" s="2">
        <f>SUM(L264:L274)</f>
        <v>3.9798286400000001E-2</v>
      </c>
      <c r="M275" s="2">
        <f>SUM(M264:M274)</f>
        <v>3.9700765699999994E-2</v>
      </c>
      <c r="N275" s="2">
        <f t="shared" si="91"/>
        <v>3.8168841600000003E-2</v>
      </c>
      <c r="O275" s="2">
        <f t="shared" si="91"/>
        <v>3.8167016900000003E-2</v>
      </c>
      <c r="P275" s="2">
        <f t="shared" si="91"/>
        <v>3.8164540499999997E-2</v>
      </c>
      <c r="Q275" s="2">
        <f t="shared" si="91"/>
        <v>3.9669108199999997E-2</v>
      </c>
      <c r="R275" s="2">
        <f>SUM(R264:R274)</f>
        <v>3.9385918700000008E-2</v>
      </c>
      <c r="S275" s="2">
        <f>SUM(S264:S274)</f>
        <v>3.8477979600000004E-2</v>
      </c>
      <c r="T275" s="2">
        <f t="shared" si="91"/>
        <v>3.8585588500000004E-2</v>
      </c>
      <c r="U275" s="2">
        <f t="shared" si="91"/>
        <v>3.8807869000000002E-2</v>
      </c>
      <c r="V275" s="2">
        <f>SUM(V264:V274)</f>
        <v>3.9415959200000003E-2</v>
      </c>
      <c r="W275" s="2">
        <f t="shared" si="91"/>
        <v>3.9374077699999996E-2</v>
      </c>
      <c r="X275" s="2">
        <f t="shared" si="91"/>
        <v>3.8607122800000004E-2</v>
      </c>
      <c r="Y275" s="2">
        <f t="shared" si="91"/>
        <v>3.9543832799999998E-2</v>
      </c>
      <c r="Z275" s="2">
        <f t="shared" si="91"/>
        <v>3.9565405000000005E-2</v>
      </c>
      <c r="AA275" s="2">
        <f>SUM(AA264:AA274)</f>
        <v>3.9872412800000007E-2</v>
      </c>
      <c r="AB275" s="2">
        <f t="shared" si="91"/>
        <v>3.9373693900000006E-2</v>
      </c>
      <c r="AC275" s="2">
        <f t="shared" si="91"/>
        <v>3.9236944699999998E-2</v>
      </c>
      <c r="AD275" s="2">
        <f t="shared" si="91"/>
        <v>3.9743454600000006E-2</v>
      </c>
      <c r="AE275" s="2">
        <f t="shared" si="91"/>
        <v>4.0142426300000006E-2</v>
      </c>
      <c r="AF275" s="2">
        <f t="shared" si="91"/>
        <v>3.913247680000001E-2</v>
      </c>
      <c r="AG275" s="2">
        <f t="shared" si="91"/>
        <v>3.97201524E-2</v>
      </c>
      <c r="AH275" s="2">
        <f t="shared" si="91"/>
        <v>3.87758032E-2</v>
      </c>
      <c r="AI275" s="2">
        <f t="shared" si="91"/>
        <v>3.9468458099999999E-2</v>
      </c>
      <c r="AJ275" s="2">
        <f>SUM(AJ264:AJ274)</f>
        <v>3.8938918199999992E-2</v>
      </c>
      <c r="AK275" s="2">
        <f t="shared" si="91"/>
        <v>3.8388679700000004E-2</v>
      </c>
      <c r="AL275" s="2">
        <f>SUM(AL264:AL274)</f>
        <v>3.9776665199999998E-2</v>
      </c>
      <c r="AM275" s="2">
        <f t="shared" si="91"/>
        <v>3.8174348200000006E-2</v>
      </c>
      <c r="AN275" s="2">
        <f>SUM(AN264:AN274)</f>
        <v>0</v>
      </c>
      <c r="AO275" s="2">
        <f>SUM(AO264:AO274)</f>
        <v>3.8430289399999998E-2</v>
      </c>
      <c r="AP275" s="2">
        <f>SUM(AP264:AP274)</f>
        <v>3.8767605699999992E-2</v>
      </c>
      <c r="AQ275" s="2">
        <f>SUM(AQ264:AQ274)</f>
        <v>0</v>
      </c>
      <c r="AR275" s="2">
        <f>SUM(AR264:AR274)</f>
        <v>3.8615939500000002E-2</v>
      </c>
      <c r="AS275" s="2">
        <f t="shared" si="91"/>
        <v>3.8959141500000009E-2</v>
      </c>
    </row>
    <row r="276" spans="1:45" hidden="1" x14ac:dyDescent="0.25"/>
    <row r="277" spans="1:45" hidden="1" x14ac:dyDescent="0.25">
      <c r="A277" s="2" t="s">
        <v>113</v>
      </c>
    </row>
    <row r="278" spans="1:45" hidden="1" x14ac:dyDescent="0.25">
      <c r="A278" s="2">
        <v>16</v>
      </c>
      <c r="B278" s="2">
        <v>-1.0000000000000001E-5</v>
      </c>
      <c r="C278" s="2">
        <f>INDEX($A278:$A282,MATCH(C$109,$A278:$A282,1))</f>
        <v>17</v>
      </c>
      <c r="D278" s="2">
        <f t="shared" ref="D278:AS278" si="92">INDEX($A278:$A282,MATCH(D$109,$A278:$A282,1))</f>
        <v>17</v>
      </c>
      <c r="E278" s="2">
        <f>INDEX($A278:$A282,MATCH(E$109,$A278:$A282,1))</f>
        <v>17</v>
      </c>
      <c r="F278" s="2">
        <f>INDEX($A278:$A282,MATCH(F$109,$A278:$A282,1))</f>
        <v>17</v>
      </c>
      <c r="G278" s="2">
        <f t="shared" si="92"/>
        <v>17</v>
      </c>
      <c r="H278" s="2">
        <f>INDEX($A278:$A282,MATCH(H$109,$A278:$A282,1))</f>
        <v>17</v>
      </c>
      <c r="I278" s="2">
        <f>INDEX($A278:$A282,MATCH(I$109,$A278:$A282,1))</f>
        <v>17</v>
      </c>
      <c r="J278" s="2">
        <f>INDEX($A278:$A282,MATCH(J$109,$A278:$A282,1))</f>
        <v>18</v>
      </c>
      <c r="K278" s="2">
        <f t="shared" si="92"/>
        <v>17</v>
      </c>
      <c r="L278" s="2">
        <f>INDEX($A278:$A282,MATCH(L$109,$A278:$A282,1))</f>
        <v>18</v>
      </c>
      <c r="M278" s="2">
        <f>INDEX($A278:$A282,MATCH(M$109,$A278:$A282,1))</f>
        <v>18</v>
      </c>
      <c r="N278" s="2">
        <f t="shared" si="92"/>
        <v>16</v>
      </c>
      <c r="O278" s="2">
        <f t="shared" si="92"/>
        <v>16</v>
      </c>
      <c r="P278" s="2">
        <f t="shared" si="92"/>
        <v>16</v>
      </c>
      <c r="Q278" s="2">
        <f t="shared" si="92"/>
        <v>17</v>
      </c>
      <c r="R278" s="2">
        <f>INDEX($A278:$A282,MATCH(R$109,$A278:$A282,1))</f>
        <v>17</v>
      </c>
      <c r="S278" s="2">
        <f>INDEX($A278:$A282,MATCH(S$109,$A278:$A282,1))</f>
        <v>16</v>
      </c>
      <c r="T278" s="2">
        <f t="shared" si="92"/>
        <v>16</v>
      </c>
      <c r="U278" s="2">
        <f t="shared" si="92"/>
        <v>16</v>
      </c>
      <c r="V278" s="2">
        <f>INDEX($A278:$A282,MATCH(V$109,$A278:$A282,1))</f>
        <v>17</v>
      </c>
      <c r="W278" s="2">
        <f t="shared" si="92"/>
        <v>17</v>
      </c>
      <c r="X278" s="2">
        <f t="shared" si="92"/>
        <v>16</v>
      </c>
      <c r="Y278" s="2">
        <f t="shared" si="92"/>
        <v>17</v>
      </c>
      <c r="Z278" s="2">
        <f t="shared" si="92"/>
        <v>17</v>
      </c>
      <c r="AA278" s="2">
        <f>INDEX($A278:$A282,MATCH(AA$109,$A278:$A282,1))</f>
        <v>18</v>
      </c>
      <c r="AB278" s="2">
        <f t="shared" si="92"/>
        <v>17</v>
      </c>
      <c r="AC278" s="2">
        <f t="shared" si="92"/>
        <v>17</v>
      </c>
      <c r="AD278" s="2">
        <f t="shared" si="92"/>
        <v>17</v>
      </c>
      <c r="AE278" s="2">
        <f t="shared" si="92"/>
        <v>18</v>
      </c>
      <c r="AF278" s="2">
        <f t="shared" si="92"/>
        <v>17</v>
      </c>
      <c r="AG278" s="2">
        <f t="shared" si="92"/>
        <v>18</v>
      </c>
      <c r="AH278" s="2">
        <f t="shared" si="92"/>
        <v>16</v>
      </c>
      <c r="AI278" s="2">
        <f t="shared" si="92"/>
        <v>17</v>
      </c>
      <c r="AJ278" s="2">
        <f>INDEX($A278:$A282,MATCH(AJ$109,$A278:$A282,1))</f>
        <v>17</v>
      </c>
      <c r="AK278" s="2">
        <f t="shared" si="92"/>
        <v>16</v>
      </c>
      <c r="AL278" s="2">
        <f>INDEX($A278:$A282,MATCH(AL$109,$A278:$A282,1))</f>
        <v>18</v>
      </c>
      <c r="AM278" s="2">
        <f t="shared" si="92"/>
        <v>16</v>
      </c>
      <c r="AN278" s="2" t="e">
        <f>INDEX($A278:$A282,MATCH(AN$109,$A278:$A282,1))</f>
        <v>#N/A</v>
      </c>
      <c r="AO278" s="2">
        <f>INDEX($A278:$A282,MATCH(AO$109,$A278:$A282,1))</f>
        <v>16</v>
      </c>
      <c r="AP278" s="2">
        <f>INDEX($A278:$A282,MATCH(AP$109,$A278:$A282,1))</f>
        <v>16</v>
      </c>
      <c r="AQ278" s="2" t="e">
        <f>INDEX($A278:$A282,MATCH(AQ$109,$A278:$A282,1))</f>
        <v>#N/A</v>
      </c>
      <c r="AR278" s="2">
        <f>INDEX($A278:$A282,MATCH(AR$109,$A278:$A282,1))</f>
        <v>16</v>
      </c>
      <c r="AS278" s="2">
        <f t="shared" si="92"/>
        <v>17</v>
      </c>
    </row>
    <row r="279" spans="1:45" hidden="1" x14ac:dyDescent="0.25">
      <c r="A279" s="2">
        <v>17</v>
      </c>
      <c r="B279" s="2">
        <v>2.1000000000000001E-4</v>
      </c>
      <c r="C279" s="2">
        <f>INDEX($B278:$B282,MATCH(C$109,$A278:$A282),1)</f>
        <v>2.1000000000000001E-4</v>
      </c>
      <c r="D279" s="2">
        <f t="shared" ref="D279:AS279" si="93">INDEX($B278:$B282,MATCH(D$109,$A278:$A282),1)</f>
        <v>2.1000000000000001E-4</v>
      </c>
      <c r="E279" s="2">
        <f>INDEX($B278:$B282,MATCH(E$109,$A278:$A282),1)</f>
        <v>2.1000000000000001E-4</v>
      </c>
      <c r="F279" s="2">
        <f>INDEX($B278:$B282,MATCH(F$109,$A278:$A282),1)</f>
        <v>2.1000000000000001E-4</v>
      </c>
      <c r="G279" s="2">
        <f t="shared" si="93"/>
        <v>2.1000000000000001E-4</v>
      </c>
      <c r="H279" s="2">
        <f>INDEX($B278:$B282,MATCH(H$109,$A278:$A282),1)</f>
        <v>2.1000000000000001E-4</v>
      </c>
      <c r="I279" s="2">
        <f>INDEX($B278:$B282,MATCH(I$109,$A278:$A282),1)</f>
        <v>2.1000000000000001E-4</v>
      </c>
      <c r="J279" s="2">
        <f>INDEX($B278:$B282,MATCH(J$109,$A278:$A282),1)</f>
        <v>4.0999999999999999E-4</v>
      </c>
      <c r="K279" s="2">
        <f t="shared" si="93"/>
        <v>2.1000000000000001E-4</v>
      </c>
      <c r="L279" s="2">
        <f>INDEX($B278:$B282,MATCH(L$109,$A278:$A282),1)</f>
        <v>4.0999999999999999E-4</v>
      </c>
      <c r="M279" s="2">
        <f>INDEX($B278:$B282,MATCH(M$109,$A278:$A282),1)</f>
        <v>4.0999999999999999E-4</v>
      </c>
      <c r="N279" s="2">
        <f t="shared" si="93"/>
        <v>-1.0000000000000001E-5</v>
      </c>
      <c r="O279" s="2">
        <f t="shared" si="93"/>
        <v>-1.0000000000000001E-5</v>
      </c>
      <c r="P279" s="2">
        <f t="shared" si="93"/>
        <v>-1.0000000000000001E-5</v>
      </c>
      <c r="Q279" s="2">
        <f t="shared" si="93"/>
        <v>2.1000000000000001E-4</v>
      </c>
      <c r="R279" s="2">
        <f>INDEX($B278:$B282,MATCH(R$109,$A278:$A282),1)</f>
        <v>2.1000000000000001E-4</v>
      </c>
      <c r="S279" s="2">
        <f>INDEX($B278:$B282,MATCH(S$109,$A278:$A282),1)</f>
        <v>-1.0000000000000001E-5</v>
      </c>
      <c r="T279" s="2">
        <f t="shared" si="93"/>
        <v>-1.0000000000000001E-5</v>
      </c>
      <c r="U279" s="2">
        <f t="shared" si="93"/>
        <v>-1.0000000000000001E-5</v>
      </c>
      <c r="V279" s="2">
        <f>INDEX($B278:$B282,MATCH(V$109,$A278:$A282),1)</f>
        <v>2.1000000000000001E-4</v>
      </c>
      <c r="W279" s="2">
        <f t="shared" si="93"/>
        <v>2.1000000000000001E-4</v>
      </c>
      <c r="X279" s="2">
        <f t="shared" si="93"/>
        <v>-1.0000000000000001E-5</v>
      </c>
      <c r="Y279" s="2">
        <f t="shared" si="93"/>
        <v>2.1000000000000001E-4</v>
      </c>
      <c r="Z279" s="2">
        <f t="shared" si="93"/>
        <v>2.1000000000000001E-4</v>
      </c>
      <c r="AA279" s="2">
        <f>INDEX($B278:$B282,MATCH(AA$109,$A278:$A282),1)</f>
        <v>4.0999999999999999E-4</v>
      </c>
      <c r="AB279" s="2">
        <f t="shared" si="93"/>
        <v>2.1000000000000001E-4</v>
      </c>
      <c r="AC279" s="2">
        <f t="shared" si="93"/>
        <v>2.1000000000000001E-4</v>
      </c>
      <c r="AD279" s="2">
        <f t="shared" si="93"/>
        <v>2.1000000000000001E-4</v>
      </c>
      <c r="AE279" s="2">
        <f t="shared" si="93"/>
        <v>4.0999999999999999E-4</v>
      </c>
      <c r="AF279" s="2">
        <f t="shared" si="93"/>
        <v>2.1000000000000001E-4</v>
      </c>
      <c r="AG279" s="2">
        <f t="shared" si="93"/>
        <v>4.0999999999999999E-4</v>
      </c>
      <c r="AH279" s="2">
        <f t="shared" si="93"/>
        <v>-1.0000000000000001E-5</v>
      </c>
      <c r="AI279" s="2">
        <f t="shared" si="93"/>
        <v>2.1000000000000001E-4</v>
      </c>
      <c r="AJ279" s="2">
        <f>INDEX($B278:$B282,MATCH(AJ$109,$A278:$A282),1)</f>
        <v>2.1000000000000001E-4</v>
      </c>
      <c r="AK279" s="2">
        <f t="shared" si="93"/>
        <v>-1.0000000000000001E-5</v>
      </c>
      <c r="AL279" s="2">
        <f>INDEX($B278:$B282,MATCH(AL$109,$A278:$A282),1)</f>
        <v>4.0999999999999999E-4</v>
      </c>
      <c r="AM279" s="2">
        <f t="shared" si="93"/>
        <v>-1.0000000000000001E-5</v>
      </c>
      <c r="AN279" s="2" t="e">
        <f>INDEX($B278:$B282,MATCH(AN$109,$A278:$A282),1)</f>
        <v>#N/A</v>
      </c>
      <c r="AO279" s="2">
        <f>INDEX($B278:$B282,MATCH(AO$109,$A278:$A282),1)</f>
        <v>-1.0000000000000001E-5</v>
      </c>
      <c r="AP279" s="2">
        <f>INDEX($B278:$B282,MATCH(AP$109,$A278:$A282),1)</f>
        <v>-1.0000000000000001E-5</v>
      </c>
      <c r="AQ279" s="2" t="e">
        <f>INDEX($B278:$B282,MATCH(AQ$109,$A278:$A282),1)</f>
        <v>#N/A</v>
      </c>
      <c r="AR279" s="2">
        <f>INDEX($B278:$B282,MATCH(AR$109,$A278:$A282),1)</f>
        <v>-1.0000000000000001E-5</v>
      </c>
      <c r="AS279" s="2">
        <f t="shared" si="93"/>
        <v>2.1000000000000001E-4</v>
      </c>
    </row>
    <row r="280" spans="1:45" hidden="1" x14ac:dyDescent="0.25">
      <c r="A280" s="2">
        <v>18</v>
      </c>
      <c r="B280" s="2">
        <v>4.0999999999999999E-4</v>
      </c>
      <c r="C280" s="2">
        <f>INDEX($A278:$A282,MATCH(C$109,$A278:$A282,1)+1)</f>
        <v>18</v>
      </c>
      <c r="D280" s="2">
        <f t="shared" ref="D280:AS280" si="94">INDEX($A278:$A282,MATCH(D$109,$A278:$A282,1)+1)</f>
        <v>18</v>
      </c>
      <c r="E280" s="2">
        <f>INDEX($A278:$A282,MATCH(E$109,$A278:$A282,1)+1)</f>
        <v>18</v>
      </c>
      <c r="F280" s="2">
        <f>INDEX($A278:$A282,MATCH(F$109,$A278:$A282,1)+1)</f>
        <v>18</v>
      </c>
      <c r="G280" s="2">
        <f t="shared" si="94"/>
        <v>18</v>
      </c>
      <c r="H280" s="2">
        <f>INDEX($A278:$A282,MATCH(H$109,$A278:$A282,1)+1)</f>
        <v>18</v>
      </c>
      <c r="I280" s="2">
        <f>INDEX($A278:$A282,MATCH(I$109,$A278:$A282,1)+1)</f>
        <v>18</v>
      </c>
      <c r="J280" s="2">
        <f>INDEX($A278:$A282,MATCH(J$109,$A278:$A282,1)+1)</f>
        <v>19</v>
      </c>
      <c r="K280" s="2">
        <f t="shared" si="94"/>
        <v>18</v>
      </c>
      <c r="L280" s="2">
        <f>INDEX($A278:$A282,MATCH(L$109,$A278:$A282,1)+1)</f>
        <v>19</v>
      </c>
      <c r="M280" s="2">
        <f>INDEX($A278:$A282,MATCH(M$109,$A278:$A282,1)+1)</f>
        <v>19</v>
      </c>
      <c r="N280" s="2">
        <f t="shared" si="94"/>
        <v>17</v>
      </c>
      <c r="O280" s="2">
        <f t="shared" si="94"/>
        <v>17</v>
      </c>
      <c r="P280" s="2">
        <f t="shared" si="94"/>
        <v>17</v>
      </c>
      <c r="Q280" s="2">
        <f t="shared" si="94"/>
        <v>18</v>
      </c>
      <c r="R280" s="2">
        <f>INDEX($A278:$A282,MATCH(R$109,$A278:$A282,1)+1)</f>
        <v>18</v>
      </c>
      <c r="S280" s="2">
        <f>INDEX($A278:$A282,MATCH(S$109,$A278:$A282,1)+1)</f>
        <v>17</v>
      </c>
      <c r="T280" s="2">
        <f t="shared" si="94"/>
        <v>17</v>
      </c>
      <c r="U280" s="2">
        <f t="shared" si="94"/>
        <v>17</v>
      </c>
      <c r="V280" s="2">
        <f>INDEX($A278:$A282,MATCH(V$109,$A278:$A282,1)+1)</f>
        <v>18</v>
      </c>
      <c r="W280" s="2">
        <f t="shared" si="94"/>
        <v>18</v>
      </c>
      <c r="X280" s="2">
        <f t="shared" si="94"/>
        <v>17</v>
      </c>
      <c r="Y280" s="2">
        <f t="shared" si="94"/>
        <v>18</v>
      </c>
      <c r="Z280" s="2">
        <f t="shared" si="94"/>
        <v>18</v>
      </c>
      <c r="AA280" s="2">
        <f>INDEX($A278:$A282,MATCH(AA$109,$A278:$A282,1)+1)</f>
        <v>19</v>
      </c>
      <c r="AB280" s="2">
        <f t="shared" si="94"/>
        <v>18</v>
      </c>
      <c r="AC280" s="2">
        <f t="shared" si="94"/>
        <v>18</v>
      </c>
      <c r="AD280" s="2">
        <f t="shared" si="94"/>
        <v>18</v>
      </c>
      <c r="AE280" s="2">
        <f t="shared" si="94"/>
        <v>19</v>
      </c>
      <c r="AF280" s="2">
        <f t="shared" si="94"/>
        <v>18</v>
      </c>
      <c r="AG280" s="2">
        <f t="shared" si="94"/>
        <v>19</v>
      </c>
      <c r="AH280" s="2">
        <f t="shared" si="94"/>
        <v>17</v>
      </c>
      <c r="AI280" s="2">
        <f t="shared" si="94"/>
        <v>18</v>
      </c>
      <c r="AJ280" s="2">
        <f>INDEX($A278:$A282,MATCH(AJ$109,$A278:$A282,1)+1)</f>
        <v>18</v>
      </c>
      <c r="AK280" s="2">
        <f t="shared" si="94"/>
        <v>17</v>
      </c>
      <c r="AL280" s="2">
        <f>INDEX($A278:$A282,MATCH(AL$109,$A278:$A282,1)+1)</f>
        <v>19</v>
      </c>
      <c r="AM280" s="2">
        <f t="shared" si="94"/>
        <v>17</v>
      </c>
      <c r="AN280" s="2" t="e">
        <f>INDEX($A278:$A282,MATCH(AN$109,$A278:$A282,1)+1)</f>
        <v>#N/A</v>
      </c>
      <c r="AO280" s="2">
        <f>INDEX($A278:$A282,MATCH(AO$109,$A278:$A282,1)+1)</f>
        <v>17</v>
      </c>
      <c r="AP280" s="2">
        <f>INDEX($A278:$A282,MATCH(AP$109,$A278:$A282,1)+1)</f>
        <v>17</v>
      </c>
      <c r="AQ280" s="2" t="e">
        <f>INDEX($A278:$A282,MATCH(AQ$109,$A278:$A282,1)+1)</f>
        <v>#N/A</v>
      </c>
      <c r="AR280" s="2">
        <f>INDEX($A278:$A282,MATCH(AR$109,$A278:$A282,1)+1)</f>
        <v>17</v>
      </c>
      <c r="AS280" s="2">
        <f t="shared" si="94"/>
        <v>18</v>
      </c>
    </row>
    <row r="281" spans="1:45" hidden="1" x14ac:dyDescent="0.25">
      <c r="A281" s="2">
        <v>19</v>
      </c>
      <c r="B281" s="2">
        <v>5.8E-4</v>
      </c>
      <c r="C281" s="2">
        <f>INDEX($B278:$B282,MATCH(C$109,$A278:$A282)+1,1)</f>
        <v>4.0999999999999999E-4</v>
      </c>
      <c r="D281" s="2">
        <f t="shared" ref="D281:AS281" si="95">INDEX($B278:$B282,MATCH(D$109,$A278:$A282)+1,1)</f>
        <v>4.0999999999999999E-4</v>
      </c>
      <c r="E281" s="2">
        <f>INDEX($B278:$B282,MATCH(E$109,$A278:$A282)+1,1)</f>
        <v>4.0999999999999999E-4</v>
      </c>
      <c r="F281" s="2">
        <f>INDEX($B278:$B282,MATCH(F$109,$A278:$A282)+1,1)</f>
        <v>4.0999999999999999E-4</v>
      </c>
      <c r="G281" s="2">
        <f t="shared" si="95"/>
        <v>4.0999999999999999E-4</v>
      </c>
      <c r="H281" s="2">
        <f>INDEX($B278:$B282,MATCH(H$109,$A278:$A282)+1,1)</f>
        <v>4.0999999999999999E-4</v>
      </c>
      <c r="I281" s="2">
        <f>INDEX($B278:$B282,MATCH(I$109,$A278:$A282)+1,1)</f>
        <v>4.0999999999999999E-4</v>
      </c>
      <c r="J281" s="2">
        <f>INDEX($B278:$B282,MATCH(J$109,$A278:$A282)+1,1)</f>
        <v>5.8E-4</v>
      </c>
      <c r="K281" s="2">
        <f t="shared" si="95"/>
        <v>4.0999999999999999E-4</v>
      </c>
      <c r="L281" s="2">
        <f>INDEX($B278:$B282,MATCH(L$109,$A278:$A282)+1,1)</f>
        <v>5.8E-4</v>
      </c>
      <c r="M281" s="2">
        <f>INDEX($B278:$B282,MATCH(M$109,$A278:$A282)+1,1)</f>
        <v>5.8E-4</v>
      </c>
      <c r="N281" s="2">
        <f t="shared" si="95"/>
        <v>2.1000000000000001E-4</v>
      </c>
      <c r="O281" s="2">
        <f t="shared" si="95"/>
        <v>2.1000000000000001E-4</v>
      </c>
      <c r="P281" s="2">
        <f t="shared" si="95"/>
        <v>2.1000000000000001E-4</v>
      </c>
      <c r="Q281" s="2">
        <f t="shared" si="95"/>
        <v>4.0999999999999999E-4</v>
      </c>
      <c r="R281" s="2">
        <f>INDEX($B278:$B282,MATCH(R$109,$A278:$A282)+1,1)</f>
        <v>4.0999999999999999E-4</v>
      </c>
      <c r="S281" s="2">
        <f>INDEX($B278:$B282,MATCH(S$109,$A278:$A282)+1,1)</f>
        <v>2.1000000000000001E-4</v>
      </c>
      <c r="T281" s="2">
        <f t="shared" si="95"/>
        <v>2.1000000000000001E-4</v>
      </c>
      <c r="U281" s="2">
        <f t="shared" si="95"/>
        <v>2.1000000000000001E-4</v>
      </c>
      <c r="V281" s="2">
        <f>INDEX($B278:$B282,MATCH(V$109,$A278:$A282)+1,1)</f>
        <v>4.0999999999999999E-4</v>
      </c>
      <c r="W281" s="2">
        <f t="shared" si="95"/>
        <v>4.0999999999999999E-4</v>
      </c>
      <c r="X281" s="2">
        <f t="shared" si="95"/>
        <v>2.1000000000000001E-4</v>
      </c>
      <c r="Y281" s="2">
        <f t="shared" si="95"/>
        <v>4.0999999999999999E-4</v>
      </c>
      <c r="Z281" s="2">
        <f t="shared" si="95"/>
        <v>4.0999999999999999E-4</v>
      </c>
      <c r="AA281" s="2">
        <f>INDEX($B278:$B282,MATCH(AA$109,$A278:$A282)+1,1)</f>
        <v>5.8E-4</v>
      </c>
      <c r="AB281" s="2">
        <f t="shared" si="95"/>
        <v>4.0999999999999999E-4</v>
      </c>
      <c r="AC281" s="2">
        <f t="shared" si="95"/>
        <v>4.0999999999999999E-4</v>
      </c>
      <c r="AD281" s="2">
        <f t="shared" si="95"/>
        <v>4.0999999999999999E-4</v>
      </c>
      <c r="AE281" s="2">
        <f t="shared" si="95"/>
        <v>5.8E-4</v>
      </c>
      <c r="AF281" s="2">
        <f t="shared" si="95"/>
        <v>4.0999999999999999E-4</v>
      </c>
      <c r="AG281" s="2">
        <f t="shared" si="95"/>
        <v>5.8E-4</v>
      </c>
      <c r="AH281" s="2">
        <f t="shared" si="95"/>
        <v>2.1000000000000001E-4</v>
      </c>
      <c r="AI281" s="2">
        <f t="shared" si="95"/>
        <v>4.0999999999999999E-4</v>
      </c>
      <c r="AJ281" s="2">
        <f>INDEX($B278:$B282,MATCH(AJ$109,$A278:$A282)+1,1)</f>
        <v>4.0999999999999999E-4</v>
      </c>
      <c r="AK281" s="2">
        <f t="shared" si="95"/>
        <v>2.1000000000000001E-4</v>
      </c>
      <c r="AL281" s="2">
        <f>INDEX($B278:$B282,MATCH(AL$109,$A278:$A282)+1,1)</f>
        <v>5.8E-4</v>
      </c>
      <c r="AM281" s="2">
        <f t="shared" si="95"/>
        <v>2.1000000000000001E-4</v>
      </c>
      <c r="AN281" s="2" t="e">
        <f>INDEX($B278:$B282,MATCH(AN$109,$A278:$A282)+1,1)</f>
        <v>#N/A</v>
      </c>
      <c r="AO281" s="2">
        <f>INDEX($B278:$B282,MATCH(AO$109,$A278:$A282)+1,1)</f>
        <v>2.1000000000000001E-4</v>
      </c>
      <c r="AP281" s="2">
        <f>INDEX($B278:$B282,MATCH(AP$109,$A278:$A282)+1,1)</f>
        <v>2.1000000000000001E-4</v>
      </c>
      <c r="AQ281" s="2" t="e">
        <f>INDEX($B278:$B282,MATCH(AQ$109,$A278:$A282)+1,1)</f>
        <v>#N/A</v>
      </c>
      <c r="AR281" s="2">
        <f>INDEX($B278:$B282,MATCH(AR$109,$A278:$A282)+1,1)</f>
        <v>2.1000000000000001E-4</v>
      </c>
      <c r="AS281" s="2">
        <f t="shared" si="95"/>
        <v>4.0999999999999999E-4</v>
      </c>
    </row>
    <row r="282" spans="1:45" hidden="1" x14ac:dyDescent="0.25">
      <c r="A282" s="2">
        <v>20</v>
      </c>
      <c r="B282" s="2">
        <v>7.6000000000000004E-4</v>
      </c>
      <c r="C282" s="55">
        <f>C$109</f>
        <v>17.734496740000004</v>
      </c>
      <c r="D282" s="55">
        <f t="shared" ref="D282:AS282" si="96">D$109</f>
        <v>17.985971039999999</v>
      </c>
      <c r="E282" s="55">
        <f t="shared" si="96"/>
        <v>17.369867299999999</v>
      </c>
      <c r="F282" s="55">
        <f t="shared" si="96"/>
        <v>17.203918419999997</v>
      </c>
      <c r="G282" s="55">
        <f t="shared" si="96"/>
        <v>17.226506029999999</v>
      </c>
      <c r="H282" s="55">
        <f>H$109</f>
        <v>17.5925647</v>
      </c>
      <c r="I282" s="55">
        <f>I$109</f>
        <v>17.063522280000001</v>
      </c>
      <c r="J282" s="55">
        <f t="shared" si="96"/>
        <v>18.301146060000001</v>
      </c>
      <c r="K282" s="55">
        <f t="shared" si="96"/>
        <v>17.560847880000001</v>
      </c>
      <c r="L282" s="55">
        <f t="shared" si="96"/>
        <v>18.294093430000004</v>
      </c>
      <c r="M282" s="55">
        <f>M$109</f>
        <v>18.078086419999998</v>
      </c>
      <c r="N282" s="55">
        <f t="shared" si="96"/>
        <v>16.069283380000002</v>
      </c>
      <c r="O282" s="55">
        <f t="shared" si="96"/>
        <v>16.067058480000004</v>
      </c>
      <c r="P282" s="55">
        <f t="shared" si="96"/>
        <v>16.063878330000001</v>
      </c>
      <c r="Q282" s="55">
        <f t="shared" si="96"/>
        <v>17.876143320000001</v>
      </c>
      <c r="R282" s="55">
        <f t="shared" si="96"/>
        <v>17.555817970000003</v>
      </c>
      <c r="S282" s="55">
        <f>S$109</f>
        <v>16.485121119999999</v>
      </c>
      <c r="T282" s="55">
        <f t="shared" si="96"/>
        <v>16.590731670000004</v>
      </c>
      <c r="U282" s="55">
        <f t="shared" si="96"/>
        <v>16.980667369999999</v>
      </c>
      <c r="V282" s="55">
        <f>V$109</f>
        <v>17.63146382</v>
      </c>
      <c r="W282" s="55">
        <f t="shared" si="96"/>
        <v>17.502251739999998</v>
      </c>
      <c r="X282" s="55">
        <f t="shared" si="96"/>
        <v>16.630852180000005</v>
      </c>
      <c r="Y282" s="55">
        <f t="shared" si="96"/>
        <v>17.725732399999998</v>
      </c>
      <c r="Z282" s="55">
        <f t="shared" si="96"/>
        <v>17.751814949999996</v>
      </c>
      <c r="AA282" s="55">
        <f t="shared" si="96"/>
        <v>18.140011169999998</v>
      </c>
      <c r="AB282" s="55">
        <f t="shared" si="96"/>
        <v>17.570775050000002</v>
      </c>
      <c r="AC282" s="55">
        <f t="shared" si="96"/>
        <v>17.448961099999998</v>
      </c>
      <c r="AD282" s="55">
        <f t="shared" si="96"/>
        <v>17.993856879999999</v>
      </c>
      <c r="AE282" s="55">
        <f t="shared" si="96"/>
        <v>18.51759019</v>
      </c>
      <c r="AF282" s="55">
        <f t="shared" si="96"/>
        <v>17.439176800000002</v>
      </c>
      <c r="AG282" s="55">
        <f t="shared" si="96"/>
        <v>18.002127129999998</v>
      </c>
      <c r="AH282" s="55">
        <f t="shared" si="96"/>
        <v>16.961457020000001</v>
      </c>
      <c r="AI282" s="55">
        <f t="shared" si="96"/>
        <v>17.654112549999994</v>
      </c>
      <c r="AJ282" s="55">
        <f t="shared" si="96"/>
        <v>17.037041240000001</v>
      </c>
      <c r="AK282" s="55">
        <f t="shared" si="96"/>
        <v>16.359293720000004</v>
      </c>
      <c r="AL282" s="55">
        <f>AL$109</f>
        <v>18.21139827</v>
      </c>
      <c r="AM282" s="55">
        <f t="shared" si="96"/>
        <v>16.076877039999999</v>
      </c>
      <c r="AN282" s="55">
        <f t="shared" si="96"/>
        <v>0</v>
      </c>
      <c r="AO282" s="55">
        <f t="shared" si="96"/>
        <v>16.43380324</v>
      </c>
      <c r="AP282" s="55">
        <f>AP$109</f>
        <v>16.912481799999998</v>
      </c>
      <c r="AQ282" s="55">
        <f>AQ$109</f>
        <v>0</v>
      </c>
      <c r="AR282" s="55">
        <f>AR$109</f>
        <v>16.686485990000005</v>
      </c>
      <c r="AS282" s="55">
        <f t="shared" si="96"/>
        <v>17.138756550000004</v>
      </c>
    </row>
    <row r="283" spans="1:45" hidden="1" x14ac:dyDescent="0.25">
      <c r="A283" s="2" t="s">
        <v>114</v>
      </c>
      <c r="C283" s="54">
        <f>(C281-C279)/(INDEX($A278:$A282,MATCH(C282,$A278:$A282)+1)-INDEX($A278:$A282,MATCH(C282,$A278:$A282)))*(C282-INDEX($A278:$A282,MATCH(C282,$A278:$A282)))+C279</f>
        <v>3.5689934800000087E-4</v>
      </c>
      <c r="D283" s="54">
        <f t="shared" ref="D283:AS283" si="97">(D281-D279)/(INDEX($A278:$A282,MATCH(D282,$A278:$A282)+1)-INDEX($A278:$A282,MATCH(D282,$A278:$A282)))*(D282-INDEX($A278:$A282,MATCH(D282,$A278:$A282)))+D279</f>
        <v>4.0719420799999976E-4</v>
      </c>
      <c r="E283" s="54">
        <f>(E281-E279)/(INDEX($A278:$A282,MATCH(E282,$A278:$A282)+1)-INDEX($A278:$A282,MATCH(E282,$A278:$A282)))*(E282-INDEX($A278:$A282,MATCH(E282,$A278:$A282)))+E279</f>
        <v>2.8397345999999987E-4</v>
      </c>
      <c r="F283" s="54">
        <f>(F281-F279)/(INDEX($A278:$A282,MATCH(F282,$A278:$A282)+1)-INDEX($A278:$A282,MATCH(F282,$A278:$A282)))*(F282-INDEX($A278:$A282,MATCH(F282,$A278:$A282)))+F279</f>
        <v>2.5078368399999946E-4</v>
      </c>
      <c r="G283" s="54">
        <f t="shared" si="97"/>
        <v>2.5530120599999992E-4</v>
      </c>
      <c r="H283" s="54">
        <f>(H281-H279)/(INDEX($A278:$A282,MATCH(H282,$A278:$A282)+1)-INDEX($A278:$A282,MATCH(H282,$A278:$A282)))*(H282-INDEX($A278:$A282,MATCH(H282,$A278:$A282)))+H279</f>
        <v>3.2851294000000008E-4</v>
      </c>
      <c r="I283" s="54">
        <f>(I281-I279)/(INDEX($A278:$A282,MATCH(I282,$A278:$A282)+1)-INDEX($A278:$A282,MATCH(I282,$A278:$A282)))*(I282-INDEX($A278:$A282,MATCH(I282,$A278:$A282)))+I279</f>
        <v>2.2270445600000018E-4</v>
      </c>
      <c r="J283" s="54">
        <f>(J281-J279)/(INDEX($A278:$A282,MATCH(J282,$A278:$A282)+1)-INDEX($A278:$A282,MATCH(J282,$A278:$A282)))*(J282-INDEX($A278:$A282,MATCH(J282,$A278:$A282)))+J279</f>
        <v>4.6119483020000011E-4</v>
      </c>
      <c r="K283" s="54">
        <f t="shared" si="97"/>
        <v>3.2216957600000016E-4</v>
      </c>
      <c r="L283" s="54">
        <f>(L281-L279)/(INDEX($A278:$A282,MATCH(L282,$A278:$A282)+1)-INDEX($A278:$A282,MATCH(L282,$A278:$A282)))*(L282-INDEX($A278:$A282,MATCH(L282,$A278:$A282)))+L279</f>
        <v>4.5999588310000061E-4</v>
      </c>
      <c r="M283" s="54">
        <f>(M281-M279)/(INDEX($A278:$A282,MATCH(M282,$A278:$A282)+1)-INDEX($A278:$A282,MATCH(M282,$A278:$A282)))*(M282-INDEX($A278:$A282,MATCH(M282,$A278:$A282)))+M279</f>
        <v>4.2327469139999971E-4</v>
      </c>
      <c r="N283" s="54">
        <f t="shared" si="97"/>
        <v>5.2423436000003671E-6</v>
      </c>
      <c r="O283" s="54">
        <f t="shared" si="97"/>
        <v>4.7528656000007882E-6</v>
      </c>
      <c r="P283" s="54">
        <f t="shared" si="97"/>
        <v>4.0532326000003143E-6</v>
      </c>
      <c r="Q283" s="54">
        <f t="shared" si="97"/>
        <v>3.852286640000001E-4</v>
      </c>
      <c r="R283" s="54">
        <f>(R281-R279)/(INDEX($A278:$A282,MATCH(R282,$A278:$A282)+1)-INDEX($A278:$A282,MATCH(R282,$A278:$A282)))*(R282-INDEX($A278:$A282,MATCH(R282,$A278:$A282)))+R279</f>
        <v>3.2116359400000062E-4</v>
      </c>
      <c r="S283" s="54">
        <f>(S281-S279)/(INDEX($A278:$A282,MATCH(S282,$A278:$A282)+1)-INDEX($A278:$A282,MATCH(S282,$A278:$A282)))*(S282-INDEX($A278:$A282,MATCH(S282,$A278:$A282)))+S279</f>
        <v>9.6726646399999724E-5</v>
      </c>
      <c r="T283" s="54">
        <f t="shared" si="97"/>
        <v>1.1996096740000086E-4</v>
      </c>
      <c r="U283" s="54">
        <f t="shared" si="97"/>
        <v>2.0574682139999981E-4</v>
      </c>
      <c r="V283" s="54">
        <f>(V281-V279)/(INDEX($A278:$A282,MATCH(V282,$A278:$A282)+1)-INDEX($A278:$A282,MATCH(V282,$A278:$A282)))*(V282-INDEX($A278:$A282,MATCH(V282,$A278:$A282)))+V279</f>
        <v>3.3629276400000006E-4</v>
      </c>
      <c r="W283" s="54">
        <f t="shared" si="97"/>
        <v>3.1045034799999968E-4</v>
      </c>
      <c r="X283" s="54">
        <f t="shared" si="97"/>
        <v>1.2878747960000112E-4</v>
      </c>
      <c r="Y283" s="54">
        <f t="shared" si="97"/>
        <v>3.5514647999999969E-4</v>
      </c>
      <c r="Z283" s="54">
        <f t="shared" si="97"/>
        <v>3.6036298999999927E-4</v>
      </c>
      <c r="AA283" s="54">
        <f>(AA281-AA279)/(INDEX($A278:$A282,MATCH(AA282,$A278:$A282)+1)-INDEX($A278:$A282,MATCH(AA282,$A278:$A282)))*(AA282-INDEX($A278:$A282,MATCH(AA282,$A278:$A282)))+AA279</f>
        <v>4.3380189889999956E-4</v>
      </c>
      <c r="AB283" s="54">
        <f t="shared" si="97"/>
        <v>3.2415501000000036E-4</v>
      </c>
      <c r="AC283" s="54">
        <f t="shared" si="97"/>
        <v>2.9979221999999967E-4</v>
      </c>
      <c r="AD283" s="54">
        <f t="shared" si="97"/>
        <v>4.0877137599999985E-4</v>
      </c>
      <c r="AE283" s="54">
        <f t="shared" si="97"/>
        <v>4.9799033230000004E-4</v>
      </c>
      <c r="AF283" s="54">
        <f t="shared" si="97"/>
        <v>2.9783536000000039E-4</v>
      </c>
      <c r="AG283" s="54">
        <f t="shared" si="97"/>
        <v>4.1036161209999968E-4</v>
      </c>
      <c r="AH283" s="54">
        <f t="shared" si="97"/>
        <v>2.0152054440000024E-4</v>
      </c>
      <c r="AI283" s="54">
        <f t="shared" si="97"/>
        <v>3.4082250999999868E-4</v>
      </c>
      <c r="AJ283" s="54">
        <f>(AJ281-AJ279)/(INDEX($A278:$A282,MATCH(AJ282,$A278:$A282)+1)-INDEX($A278:$A282,MATCH(AJ282,$A278:$A282)))*(AJ282-INDEX($A278:$A282,MATCH(AJ282,$A278:$A282)))+AJ279</f>
        <v>2.1740824800000014E-4</v>
      </c>
      <c r="AK283" s="54">
        <f t="shared" si="97"/>
        <v>6.9044618400000815E-5</v>
      </c>
      <c r="AL283" s="54">
        <f>(AL281-AL279)/(INDEX($A278:$A282,MATCH(AL282,$A278:$A282)+1)-INDEX($A278:$A282,MATCH(AL282,$A278:$A282)))*(AL282-INDEX($A278:$A282,MATCH(AL282,$A278:$A282)))+AL279</f>
        <v>4.459377059E-4</v>
      </c>
      <c r="AM283" s="54">
        <f t="shared" si="97"/>
        <v>6.9129487999998665E-6</v>
      </c>
      <c r="AN283" s="54" t="e">
        <f>(AN281-AN279)/(INDEX($A278:$A282,MATCH(AN282,$A278:$A282)+1)-INDEX($A278:$A282,MATCH(AN282,$A278:$A282)))*(AN282-INDEX($A278:$A282,MATCH(AN282,$A278:$A282)))+AN279</f>
        <v>#N/A</v>
      </c>
      <c r="AO283" s="54">
        <f>(AO281-AO279)/(INDEX($A278:$A282,MATCH(AO282,$A278:$A282)+1)-INDEX($A278:$A282,MATCH(AO282,$A278:$A282)))*(AO282-INDEX($A278:$A282,MATCH(AO282,$A278:$A282)))+AO279</f>
        <v>8.5436712799999919E-5</v>
      </c>
      <c r="AP283" s="54">
        <f>(AP281-AP279)/(INDEX($A278:$A282,MATCH(AP282,$A278:$A282)+1)-INDEX($A278:$A282,MATCH(AP282,$A278:$A282)))*(AP282-INDEX($A278:$A282,MATCH(AP282,$A278:$A282)))+AP279</f>
        <v>1.9074599599999966E-4</v>
      </c>
      <c r="AQ283" s="54" t="e">
        <f>(AQ281-AQ279)/(INDEX($A278:$A282,MATCH(AQ282,$A278:$A282)+1)-INDEX($A278:$A282,MATCH(AQ282,$A278:$A282)))*(AQ282-INDEX($A278:$A282,MATCH(AQ282,$A278:$A282)))+AQ279</f>
        <v>#N/A</v>
      </c>
      <c r="AR283" s="54">
        <f>(AR281-AR279)/(INDEX($A278:$A282,MATCH(AR282,$A278:$A282)+1)-INDEX($A278:$A282,MATCH(AR282,$A278:$A282)))*(AR282-INDEX($A278:$A282,MATCH(AR282,$A278:$A282)))+AR279</f>
        <v>1.4102691780000108E-4</v>
      </c>
      <c r="AS283" s="54">
        <f t="shared" si="97"/>
        <v>2.3775131000000073E-4</v>
      </c>
    </row>
    <row r="284" spans="1:45" hidden="1" x14ac:dyDescent="0.25"/>
    <row r="285" spans="1:45" hidden="1" x14ac:dyDescent="0.25">
      <c r="A285" s="2" t="s">
        <v>113</v>
      </c>
    </row>
    <row r="286" spans="1:45" hidden="1" x14ac:dyDescent="0.25">
      <c r="A286" s="2">
        <v>16</v>
      </c>
      <c r="B286" s="2">
        <v>-2.0000000000000002E-5</v>
      </c>
      <c r="C286" s="2">
        <f>INDEX($A286:$A290,MATCH(C$109,$A286:$A290,1))</f>
        <v>17</v>
      </c>
      <c r="D286" s="2">
        <f t="shared" ref="D286:AS286" si="98">INDEX($A286:$A290,MATCH(D$109,$A286:$A290,1))</f>
        <v>17</v>
      </c>
      <c r="E286" s="2">
        <f>INDEX($A286:$A290,MATCH(E$109,$A286:$A290,1))</f>
        <v>17</v>
      </c>
      <c r="F286" s="2">
        <f>INDEX($A286:$A290,MATCH(F$109,$A286:$A290,1))</f>
        <v>17</v>
      </c>
      <c r="G286" s="2">
        <f t="shared" si="98"/>
        <v>17</v>
      </c>
      <c r="H286" s="2">
        <f>INDEX($A286:$A290,MATCH(H$109,$A286:$A290,1))</f>
        <v>17</v>
      </c>
      <c r="I286" s="2">
        <f>INDEX($A286:$A290,MATCH(I$109,$A286:$A290,1))</f>
        <v>17</v>
      </c>
      <c r="J286" s="2">
        <f>INDEX($A286:$A290,MATCH(J$109,$A286:$A290,1))</f>
        <v>18</v>
      </c>
      <c r="K286" s="2">
        <f t="shared" si="98"/>
        <v>17</v>
      </c>
      <c r="L286" s="2">
        <f>INDEX($A286:$A290,MATCH(L$109,$A286:$A290,1))</f>
        <v>18</v>
      </c>
      <c r="M286" s="2">
        <f>INDEX($A286:$A290,MATCH(M$109,$A286:$A290,1))</f>
        <v>18</v>
      </c>
      <c r="N286" s="2">
        <f t="shared" si="98"/>
        <v>16</v>
      </c>
      <c r="O286" s="2">
        <f t="shared" si="98"/>
        <v>16</v>
      </c>
      <c r="P286" s="2">
        <f t="shared" si="98"/>
        <v>16</v>
      </c>
      <c r="Q286" s="2">
        <f t="shared" si="98"/>
        <v>17</v>
      </c>
      <c r="R286" s="2">
        <f>INDEX($A286:$A290,MATCH(R$109,$A286:$A290,1))</f>
        <v>17</v>
      </c>
      <c r="S286" s="2">
        <f>INDEX($A286:$A290,MATCH(S$109,$A286:$A290,1))</f>
        <v>16</v>
      </c>
      <c r="T286" s="2">
        <f t="shared" si="98"/>
        <v>16</v>
      </c>
      <c r="U286" s="2">
        <f t="shared" si="98"/>
        <v>16</v>
      </c>
      <c r="V286" s="2">
        <f>INDEX($A286:$A290,MATCH(V$109,$A286:$A290,1))</f>
        <v>17</v>
      </c>
      <c r="W286" s="2">
        <f t="shared" si="98"/>
        <v>17</v>
      </c>
      <c r="X286" s="2">
        <f t="shared" si="98"/>
        <v>16</v>
      </c>
      <c r="Y286" s="2">
        <f t="shared" si="98"/>
        <v>17</v>
      </c>
      <c r="Z286" s="2">
        <f t="shared" si="98"/>
        <v>17</v>
      </c>
      <c r="AA286" s="2">
        <f>INDEX($A286:$A290,MATCH(AA$109,$A286:$A290,1))</f>
        <v>18</v>
      </c>
      <c r="AB286" s="2">
        <f t="shared" si="98"/>
        <v>17</v>
      </c>
      <c r="AC286" s="2">
        <f t="shared" si="98"/>
        <v>17</v>
      </c>
      <c r="AD286" s="2">
        <f t="shared" si="98"/>
        <v>17</v>
      </c>
      <c r="AE286" s="2">
        <f t="shared" si="98"/>
        <v>18</v>
      </c>
      <c r="AF286" s="2">
        <f t="shared" si="98"/>
        <v>17</v>
      </c>
      <c r="AG286" s="2">
        <f t="shared" si="98"/>
        <v>18</v>
      </c>
      <c r="AH286" s="2">
        <f t="shared" si="98"/>
        <v>16</v>
      </c>
      <c r="AI286" s="2">
        <f t="shared" si="98"/>
        <v>17</v>
      </c>
      <c r="AJ286" s="2">
        <f>INDEX($A286:$A290,MATCH(AJ$109,$A286:$A290,1))</f>
        <v>17</v>
      </c>
      <c r="AK286" s="2">
        <f t="shared" si="98"/>
        <v>16</v>
      </c>
      <c r="AL286" s="2">
        <f>INDEX($A286:$A290,MATCH(AL$109,$A286:$A290,1))</f>
        <v>18</v>
      </c>
      <c r="AM286" s="2">
        <f t="shared" si="98"/>
        <v>16</v>
      </c>
      <c r="AN286" s="2" t="e">
        <f>INDEX($A286:$A290,MATCH(AN$109,$A286:$A290,1))</f>
        <v>#N/A</v>
      </c>
      <c r="AO286" s="2">
        <f>INDEX($A286:$A290,MATCH(AO$109,$A286:$A290,1))</f>
        <v>16</v>
      </c>
      <c r="AP286" s="2">
        <f>INDEX($A286:$A290,MATCH(AP$109,$A286:$A290,1))</f>
        <v>16</v>
      </c>
      <c r="AQ286" s="2" t="e">
        <f>INDEX($A286:$A290,MATCH(AQ$109,$A286:$A290,1))</f>
        <v>#N/A</v>
      </c>
      <c r="AR286" s="2">
        <f>INDEX($A286:$A290,MATCH(AR$109,$A286:$A290,1))</f>
        <v>16</v>
      </c>
      <c r="AS286" s="2">
        <f t="shared" si="98"/>
        <v>17</v>
      </c>
    </row>
    <row r="287" spans="1:45" hidden="1" x14ac:dyDescent="0.25">
      <c r="A287" s="2">
        <v>17</v>
      </c>
      <c r="B287" s="2">
        <v>4.6000000000000001E-4</v>
      </c>
      <c r="C287" s="2">
        <f>INDEX($B286:$B290,MATCH(C$109,$A286:$A290),1)</f>
        <v>4.6000000000000001E-4</v>
      </c>
      <c r="D287" s="2">
        <f t="shared" ref="D287:AS287" si="99">INDEX($B286:$B290,MATCH(D$109,$A286:$A290),1)</f>
        <v>4.6000000000000001E-4</v>
      </c>
      <c r="E287" s="2">
        <f>INDEX($B286:$B290,MATCH(E$109,$A286:$A290),1)</f>
        <v>4.6000000000000001E-4</v>
      </c>
      <c r="F287" s="2">
        <f>INDEX($B286:$B290,MATCH(F$109,$A286:$A290),1)</f>
        <v>4.6000000000000001E-4</v>
      </c>
      <c r="G287" s="2">
        <f t="shared" si="99"/>
        <v>4.6000000000000001E-4</v>
      </c>
      <c r="H287" s="2">
        <f>INDEX($B286:$B290,MATCH(H$109,$A286:$A290),1)</f>
        <v>4.6000000000000001E-4</v>
      </c>
      <c r="I287" s="2">
        <f>INDEX($B286:$B290,MATCH(I$109,$A286:$A290),1)</f>
        <v>4.6000000000000001E-4</v>
      </c>
      <c r="J287" s="2">
        <f>INDEX($B286:$B290,MATCH(J$109,$A286:$A290),1)</f>
        <v>6.7000000000000002E-4</v>
      </c>
      <c r="K287" s="2">
        <f t="shared" si="99"/>
        <v>4.6000000000000001E-4</v>
      </c>
      <c r="L287" s="2">
        <f>INDEX($B286:$B290,MATCH(L$109,$A286:$A290),1)</f>
        <v>6.7000000000000002E-4</v>
      </c>
      <c r="M287" s="2">
        <f>INDEX($B286:$B290,MATCH(M$109,$A286:$A290),1)</f>
        <v>6.7000000000000002E-4</v>
      </c>
      <c r="N287" s="2">
        <f t="shared" si="99"/>
        <v>-2.0000000000000002E-5</v>
      </c>
      <c r="O287" s="2">
        <f t="shared" si="99"/>
        <v>-2.0000000000000002E-5</v>
      </c>
      <c r="P287" s="2">
        <f t="shared" si="99"/>
        <v>-2.0000000000000002E-5</v>
      </c>
      <c r="Q287" s="2">
        <f t="shared" si="99"/>
        <v>4.6000000000000001E-4</v>
      </c>
      <c r="R287" s="2">
        <f>INDEX($B286:$B290,MATCH(R$109,$A286:$A290),1)</f>
        <v>4.6000000000000001E-4</v>
      </c>
      <c r="S287" s="2">
        <f>INDEX($B286:$B290,MATCH(S$109,$A286:$A290),1)</f>
        <v>-2.0000000000000002E-5</v>
      </c>
      <c r="T287" s="2">
        <f t="shared" si="99"/>
        <v>-2.0000000000000002E-5</v>
      </c>
      <c r="U287" s="2">
        <f t="shared" si="99"/>
        <v>-2.0000000000000002E-5</v>
      </c>
      <c r="V287" s="2">
        <f>INDEX($B286:$B290,MATCH(V$109,$A286:$A290),1)</f>
        <v>4.6000000000000001E-4</v>
      </c>
      <c r="W287" s="2">
        <f t="shared" si="99"/>
        <v>4.6000000000000001E-4</v>
      </c>
      <c r="X287" s="2">
        <f t="shared" si="99"/>
        <v>-2.0000000000000002E-5</v>
      </c>
      <c r="Y287" s="2">
        <f t="shared" si="99"/>
        <v>4.6000000000000001E-4</v>
      </c>
      <c r="Z287" s="2">
        <f t="shared" si="99"/>
        <v>4.6000000000000001E-4</v>
      </c>
      <c r="AA287" s="2">
        <f>INDEX($B286:$B290,MATCH(AA$109,$A286:$A290),1)</f>
        <v>6.7000000000000002E-4</v>
      </c>
      <c r="AB287" s="2">
        <f t="shared" si="99"/>
        <v>4.6000000000000001E-4</v>
      </c>
      <c r="AC287" s="2">
        <f t="shared" si="99"/>
        <v>4.6000000000000001E-4</v>
      </c>
      <c r="AD287" s="2">
        <f t="shared" si="99"/>
        <v>4.6000000000000001E-4</v>
      </c>
      <c r="AE287" s="2">
        <f t="shared" si="99"/>
        <v>6.7000000000000002E-4</v>
      </c>
      <c r="AF287" s="2">
        <f t="shared" si="99"/>
        <v>4.6000000000000001E-4</v>
      </c>
      <c r="AG287" s="2">
        <f t="shared" si="99"/>
        <v>6.7000000000000002E-4</v>
      </c>
      <c r="AH287" s="2">
        <f t="shared" si="99"/>
        <v>-2.0000000000000002E-5</v>
      </c>
      <c r="AI287" s="2">
        <f t="shared" si="99"/>
        <v>4.6000000000000001E-4</v>
      </c>
      <c r="AJ287" s="2">
        <f>INDEX($B286:$B290,MATCH(AJ$109,$A286:$A290),1)</f>
        <v>4.6000000000000001E-4</v>
      </c>
      <c r="AK287" s="2">
        <f t="shared" si="99"/>
        <v>-2.0000000000000002E-5</v>
      </c>
      <c r="AL287" s="2">
        <f>INDEX($B286:$B290,MATCH(AL$109,$A286:$A290),1)</f>
        <v>6.7000000000000002E-4</v>
      </c>
      <c r="AM287" s="2">
        <f t="shared" si="99"/>
        <v>-2.0000000000000002E-5</v>
      </c>
      <c r="AN287" s="2" t="e">
        <f>INDEX($B286:$B290,MATCH(AN$109,$A286:$A290),1)</f>
        <v>#N/A</v>
      </c>
      <c r="AO287" s="2">
        <f>INDEX($B286:$B290,MATCH(AO$109,$A286:$A290),1)</f>
        <v>-2.0000000000000002E-5</v>
      </c>
      <c r="AP287" s="2">
        <f>INDEX($B286:$B290,MATCH(AP$109,$A286:$A290),1)</f>
        <v>-2.0000000000000002E-5</v>
      </c>
      <c r="AQ287" s="2" t="e">
        <f>INDEX($B286:$B290,MATCH(AQ$109,$A286:$A290),1)</f>
        <v>#N/A</v>
      </c>
      <c r="AR287" s="2">
        <f>INDEX($B286:$B290,MATCH(AR$109,$A286:$A290),1)</f>
        <v>-2.0000000000000002E-5</v>
      </c>
      <c r="AS287" s="2">
        <f t="shared" si="99"/>
        <v>4.6000000000000001E-4</v>
      </c>
    </row>
    <row r="288" spans="1:45" hidden="1" x14ac:dyDescent="0.25">
      <c r="A288" s="2">
        <v>18</v>
      </c>
      <c r="B288" s="2">
        <v>6.7000000000000002E-4</v>
      </c>
      <c r="C288" s="2">
        <f>INDEX($A286:$A290,MATCH(C$109,$A286:$A290,1)+1)</f>
        <v>18</v>
      </c>
      <c r="D288" s="2">
        <f t="shared" ref="D288:AS288" si="100">INDEX($A286:$A290,MATCH(D$109,$A286:$A290,1)+1)</f>
        <v>18</v>
      </c>
      <c r="E288" s="2">
        <f>INDEX($A286:$A290,MATCH(E$109,$A286:$A290,1)+1)</f>
        <v>18</v>
      </c>
      <c r="F288" s="2">
        <f>INDEX($A286:$A290,MATCH(F$109,$A286:$A290,1)+1)</f>
        <v>18</v>
      </c>
      <c r="G288" s="2">
        <f t="shared" si="100"/>
        <v>18</v>
      </c>
      <c r="H288" s="2">
        <f>INDEX($A286:$A290,MATCH(H$109,$A286:$A290,1)+1)</f>
        <v>18</v>
      </c>
      <c r="I288" s="2">
        <f>INDEX($A286:$A290,MATCH(I$109,$A286:$A290,1)+1)</f>
        <v>18</v>
      </c>
      <c r="J288" s="2">
        <f>INDEX($A286:$A290,MATCH(J$109,$A286:$A290,1)+1)</f>
        <v>19</v>
      </c>
      <c r="K288" s="2">
        <f t="shared" si="100"/>
        <v>18</v>
      </c>
      <c r="L288" s="2">
        <f>INDEX($A286:$A290,MATCH(L$109,$A286:$A290,1)+1)</f>
        <v>19</v>
      </c>
      <c r="M288" s="2">
        <f>INDEX($A286:$A290,MATCH(M$109,$A286:$A290,1)+1)</f>
        <v>19</v>
      </c>
      <c r="N288" s="2">
        <f t="shared" si="100"/>
        <v>17</v>
      </c>
      <c r="O288" s="2">
        <f t="shared" si="100"/>
        <v>17</v>
      </c>
      <c r="P288" s="2">
        <f t="shared" si="100"/>
        <v>17</v>
      </c>
      <c r="Q288" s="2">
        <f t="shared" si="100"/>
        <v>18</v>
      </c>
      <c r="R288" s="2">
        <f>INDEX($A286:$A290,MATCH(R$109,$A286:$A290,1)+1)</f>
        <v>18</v>
      </c>
      <c r="S288" s="2">
        <f>INDEX($A286:$A290,MATCH(S$109,$A286:$A290,1)+1)</f>
        <v>17</v>
      </c>
      <c r="T288" s="2">
        <f t="shared" si="100"/>
        <v>17</v>
      </c>
      <c r="U288" s="2">
        <f t="shared" si="100"/>
        <v>17</v>
      </c>
      <c r="V288" s="2">
        <f>INDEX($A286:$A290,MATCH(V$109,$A286:$A290,1)+1)</f>
        <v>18</v>
      </c>
      <c r="W288" s="2">
        <f t="shared" si="100"/>
        <v>18</v>
      </c>
      <c r="X288" s="2">
        <f t="shared" si="100"/>
        <v>17</v>
      </c>
      <c r="Y288" s="2">
        <f t="shared" si="100"/>
        <v>18</v>
      </c>
      <c r="Z288" s="2">
        <f t="shared" si="100"/>
        <v>18</v>
      </c>
      <c r="AA288" s="2">
        <f>INDEX($A286:$A290,MATCH(AA$109,$A286:$A290,1)+1)</f>
        <v>19</v>
      </c>
      <c r="AB288" s="2">
        <f t="shared" si="100"/>
        <v>18</v>
      </c>
      <c r="AC288" s="2">
        <f t="shared" si="100"/>
        <v>18</v>
      </c>
      <c r="AD288" s="2">
        <f t="shared" si="100"/>
        <v>18</v>
      </c>
      <c r="AE288" s="2">
        <f t="shared" si="100"/>
        <v>19</v>
      </c>
      <c r="AF288" s="2">
        <f t="shared" si="100"/>
        <v>18</v>
      </c>
      <c r="AG288" s="2">
        <f t="shared" si="100"/>
        <v>19</v>
      </c>
      <c r="AH288" s="2">
        <f t="shared" si="100"/>
        <v>17</v>
      </c>
      <c r="AI288" s="2">
        <f t="shared" si="100"/>
        <v>18</v>
      </c>
      <c r="AJ288" s="2">
        <f>INDEX($A286:$A290,MATCH(AJ$109,$A286:$A290,1)+1)</f>
        <v>18</v>
      </c>
      <c r="AK288" s="2">
        <f t="shared" si="100"/>
        <v>17</v>
      </c>
      <c r="AL288" s="2">
        <f>INDEX($A286:$A290,MATCH(AL$109,$A286:$A290,1)+1)</f>
        <v>19</v>
      </c>
      <c r="AM288" s="2">
        <f t="shared" si="100"/>
        <v>17</v>
      </c>
      <c r="AN288" s="2" t="e">
        <f>INDEX($A286:$A290,MATCH(AN$109,$A286:$A290,1)+1)</f>
        <v>#N/A</v>
      </c>
      <c r="AO288" s="2">
        <f>INDEX($A286:$A290,MATCH(AO$109,$A286:$A290,1)+1)</f>
        <v>17</v>
      </c>
      <c r="AP288" s="2">
        <f>INDEX($A286:$A290,MATCH(AP$109,$A286:$A290,1)+1)</f>
        <v>17</v>
      </c>
      <c r="AQ288" s="2" t="e">
        <f>INDEX($A286:$A290,MATCH(AQ$109,$A286:$A290,1)+1)</f>
        <v>#N/A</v>
      </c>
      <c r="AR288" s="2">
        <f>INDEX($A286:$A290,MATCH(AR$109,$A286:$A290,1)+1)</f>
        <v>17</v>
      </c>
      <c r="AS288" s="2">
        <f t="shared" si="100"/>
        <v>18</v>
      </c>
    </row>
    <row r="289" spans="1:45" hidden="1" x14ac:dyDescent="0.25">
      <c r="A289" s="2">
        <v>19</v>
      </c>
      <c r="B289" s="2">
        <v>8.8000000000000003E-4</v>
      </c>
      <c r="C289" s="2">
        <f>INDEX($B286:$B290,MATCH(C$109,$A286:$A290)+1,1)</f>
        <v>6.7000000000000002E-4</v>
      </c>
      <c r="D289" s="2">
        <f t="shared" ref="D289:AS289" si="101">INDEX($B286:$B290,MATCH(D$109,$A286:$A290)+1,1)</f>
        <v>6.7000000000000002E-4</v>
      </c>
      <c r="E289" s="2">
        <f>INDEX($B286:$B290,MATCH(E$109,$A286:$A290)+1,1)</f>
        <v>6.7000000000000002E-4</v>
      </c>
      <c r="F289" s="2">
        <f>INDEX($B286:$B290,MATCH(F$109,$A286:$A290)+1,1)</f>
        <v>6.7000000000000002E-4</v>
      </c>
      <c r="G289" s="2">
        <f t="shared" si="101"/>
        <v>6.7000000000000002E-4</v>
      </c>
      <c r="H289" s="2">
        <f>INDEX($B286:$B290,MATCH(H$109,$A286:$A290)+1,1)</f>
        <v>6.7000000000000002E-4</v>
      </c>
      <c r="I289" s="2">
        <f>INDEX($B286:$B290,MATCH(I$109,$A286:$A290)+1,1)</f>
        <v>6.7000000000000002E-4</v>
      </c>
      <c r="J289" s="2">
        <f>INDEX($B286:$B290,MATCH(J$109,$A286:$A290)+1,1)</f>
        <v>8.8000000000000003E-4</v>
      </c>
      <c r="K289" s="2">
        <f t="shared" si="101"/>
        <v>6.7000000000000002E-4</v>
      </c>
      <c r="L289" s="2">
        <f>INDEX($B286:$B290,MATCH(L$109,$A286:$A290)+1,1)</f>
        <v>8.8000000000000003E-4</v>
      </c>
      <c r="M289" s="2">
        <f>INDEX($B286:$B290,MATCH(M$109,$A286:$A290)+1,1)</f>
        <v>8.8000000000000003E-4</v>
      </c>
      <c r="N289" s="2">
        <f t="shared" si="101"/>
        <v>4.6000000000000001E-4</v>
      </c>
      <c r="O289" s="2">
        <f t="shared" si="101"/>
        <v>4.6000000000000001E-4</v>
      </c>
      <c r="P289" s="2">
        <f t="shared" si="101"/>
        <v>4.6000000000000001E-4</v>
      </c>
      <c r="Q289" s="2">
        <f t="shared" si="101"/>
        <v>6.7000000000000002E-4</v>
      </c>
      <c r="R289" s="2">
        <f>INDEX($B286:$B290,MATCH(R$109,$A286:$A290)+1,1)</f>
        <v>6.7000000000000002E-4</v>
      </c>
      <c r="S289" s="2">
        <f>INDEX($B286:$B290,MATCH(S$109,$A286:$A290)+1,1)</f>
        <v>4.6000000000000001E-4</v>
      </c>
      <c r="T289" s="2">
        <f t="shared" si="101"/>
        <v>4.6000000000000001E-4</v>
      </c>
      <c r="U289" s="2">
        <f t="shared" si="101"/>
        <v>4.6000000000000001E-4</v>
      </c>
      <c r="V289" s="2">
        <f>INDEX($B286:$B290,MATCH(V$109,$A286:$A290)+1,1)</f>
        <v>6.7000000000000002E-4</v>
      </c>
      <c r="W289" s="2">
        <f t="shared" si="101"/>
        <v>6.7000000000000002E-4</v>
      </c>
      <c r="X289" s="2">
        <f t="shared" si="101"/>
        <v>4.6000000000000001E-4</v>
      </c>
      <c r="Y289" s="2">
        <f t="shared" si="101"/>
        <v>6.7000000000000002E-4</v>
      </c>
      <c r="Z289" s="2">
        <f t="shared" si="101"/>
        <v>6.7000000000000002E-4</v>
      </c>
      <c r="AA289" s="2">
        <f>INDEX($B286:$B290,MATCH(AA$109,$A286:$A290)+1,1)</f>
        <v>8.8000000000000003E-4</v>
      </c>
      <c r="AB289" s="2">
        <f t="shared" si="101"/>
        <v>6.7000000000000002E-4</v>
      </c>
      <c r="AC289" s="2">
        <f t="shared" si="101"/>
        <v>6.7000000000000002E-4</v>
      </c>
      <c r="AD289" s="2">
        <f t="shared" si="101"/>
        <v>6.7000000000000002E-4</v>
      </c>
      <c r="AE289" s="2">
        <f t="shared" si="101"/>
        <v>8.8000000000000003E-4</v>
      </c>
      <c r="AF289" s="2">
        <f t="shared" si="101"/>
        <v>6.7000000000000002E-4</v>
      </c>
      <c r="AG289" s="2">
        <f t="shared" si="101"/>
        <v>8.8000000000000003E-4</v>
      </c>
      <c r="AH289" s="2">
        <f t="shared" si="101"/>
        <v>4.6000000000000001E-4</v>
      </c>
      <c r="AI289" s="2">
        <f t="shared" si="101"/>
        <v>6.7000000000000002E-4</v>
      </c>
      <c r="AJ289" s="2">
        <f>INDEX($B286:$B290,MATCH(AJ$109,$A286:$A290)+1,1)</f>
        <v>6.7000000000000002E-4</v>
      </c>
      <c r="AK289" s="2">
        <f t="shared" si="101"/>
        <v>4.6000000000000001E-4</v>
      </c>
      <c r="AL289" s="2">
        <f>INDEX($B286:$B290,MATCH(AL$109,$A286:$A290)+1,1)</f>
        <v>8.8000000000000003E-4</v>
      </c>
      <c r="AM289" s="2">
        <f t="shared" si="101"/>
        <v>4.6000000000000001E-4</v>
      </c>
      <c r="AN289" s="2" t="e">
        <f>INDEX($B286:$B290,MATCH(AN$109,$A286:$A290)+1,1)</f>
        <v>#N/A</v>
      </c>
      <c r="AO289" s="2">
        <f>INDEX($B286:$B290,MATCH(AO$109,$A286:$A290)+1,1)</f>
        <v>4.6000000000000001E-4</v>
      </c>
      <c r="AP289" s="2">
        <f>INDEX($B286:$B290,MATCH(AP$109,$A286:$A290)+1,1)</f>
        <v>4.6000000000000001E-4</v>
      </c>
      <c r="AQ289" s="2" t="e">
        <f>INDEX($B286:$B290,MATCH(AQ$109,$A286:$A290)+1,1)</f>
        <v>#N/A</v>
      </c>
      <c r="AR289" s="2">
        <f>INDEX($B286:$B290,MATCH(AR$109,$A286:$A290)+1,1)</f>
        <v>4.6000000000000001E-4</v>
      </c>
      <c r="AS289" s="2">
        <f t="shared" si="101"/>
        <v>6.7000000000000002E-4</v>
      </c>
    </row>
    <row r="290" spans="1:45" hidden="1" x14ac:dyDescent="0.25">
      <c r="A290" s="2">
        <v>20</v>
      </c>
      <c r="B290" s="2">
        <v>1.06E-3</v>
      </c>
      <c r="C290" s="55">
        <f>C$109</f>
        <v>17.734496740000004</v>
      </c>
      <c r="D290" s="55">
        <f t="shared" ref="D290:AS290" si="102">D$109</f>
        <v>17.985971039999999</v>
      </c>
      <c r="E290" s="55">
        <f t="shared" si="102"/>
        <v>17.369867299999999</v>
      </c>
      <c r="F290" s="55">
        <f t="shared" si="102"/>
        <v>17.203918419999997</v>
      </c>
      <c r="G290" s="55">
        <f t="shared" si="102"/>
        <v>17.226506029999999</v>
      </c>
      <c r="H290" s="55">
        <f>H$109</f>
        <v>17.5925647</v>
      </c>
      <c r="I290" s="55">
        <f>I$109</f>
        <v>17.063522280000001</v>
      </c>
      <c r="J290" s="55">
        <f t="shared" si="102"/>
        <v>18.301146060000001</v>
      </c>
      <c r="K290" s="55">
        <f t="shared" si="102"/>
        <v>17.560847880000001</v>
      </c>
      <c r="L290" s="55">
        <f t="shared" si="102"/>
        <v>18.294093430000004</v>
      </c>
      <c r="M290" s="55">
        <f>M$109</f>
        <v>18.078086419999998</v>
      </c>
      <c r="N290" s="55">
        <f t="shared" si="102"/>
        <v>16.069283380000002</v>
      </c>
      <c r="O290" s="55">
        <f t="shared" si="102"/>
        <v>16.067058480000004</v>
      </c>
      <c r="P290" s="55">
        <f t="shared" si="102"/>
        <v>16.063878330000001</v>
      </c>
      <c r="Q290" s="55">
        <f t="shared" si="102"/>
        <v>17.876143320000001</v>
      </c>
      <c r="R290" s="55">
        <f t="shared" si="102"/>
        <v>17.555817970000003</v>
      </c>
      <c r="S290" s="55">
        <f>S$109</f>
        <v>16.485121119999999</v>
      </c>
      <c r="T290" s="55">
        <f t="shared" si="102"/>
        <v>16.590731670000004</v>
      </c>
      <c r="U290" s="55">
        <f t="shared" si="102"/>
        <v>16.980667369999999</v>
      </c>
      <c r="V290" s="55">
        <f>V$109</f>
        <v>17.63146382</v>
      </c>
      <c r="W290" s="55">
        <f t="shared" si="102"/>
        <v>17.502251739999998</v>
      </c>
      <c r="X290" s="55">
        <f t="shared" si="102"/>
        <v>16.630852180000005</v>
      </c>
      <c r="Y290" s="55">
        <f t="shared" si="102"/>
        <v>17.725732399999998</v>
      </c>
      <c r="Z290" s="55">
        <f t="shared" si="102"/>
        <v>17.751814949999996</v>
      </c>
      <c r="AA290" s="55">
        <f t="shared" si="102"/>
        <v>18.140011169999998</v>
      </c>
      <c r="AB290" s="55">
        <f t="shared" si="102"/>
        <v>17.570775050000002</v>
      </c>
      <c r="AC290" s="55">
        <f t="shared" si="102"/>
        <v>17.448961099999998</v>
      </c>
      <c r="AD290" s="55">
        <f t="shared" si="102"/>
        <v>17.993856879999999</v>
      </c>
      <c r="AE290" s="55">
        <f t="shared" si="102"/>
        <v>18.51759019</v>
      </c>
      <c r="AF290" s="55">
        <f t="shared" si="102"/>
        <v>17.439176800000002</v>
      </c>
      <c r="AG290" s="55">
        <f t="shared" si="102"/>
        <v>18.002127129999998</v>
      </c>
      <c r="AH290" s="55">
        <f t="shared" si="102"/>
        <v>16.961457020000001</v>
      </c>
      <c r="AI290" s="55">
        <f t="shared" si="102"/>
        <v>17.654112549999994</v>
      </c>
      <c r="AJ290" s="55">
        <f t="shared" si="102"/>
        <v>17.037041240000001</v>
      </c>
      <c r="AK290" s="55">
        <f t="shared" si="102"/>
        <v>16.359293720000004</v>
      </c>
      <c r="AL290" s="55">
        <f>AL$109</f>
        <v>18.21139827</v>
      </c>
      <c r="AM290" s="55">
        <f t="shared" si="102"/>
        <v>16.076877039999999</v>
      </c>
      <c r="AN290" s="55">
        <f t="shared" si="102"/>
        <v>0</v>
      </c>
      <c r="AO290" s="55">
        <f t="shared" si="102"/>
        <v>16.43380324</v>
      </c>
      <c r="AP290" s="55">
        <f>AP$109</f>
        <v>16.912481799999998</v>
      </c>
      <c r="AQ290" s="55">
        <f>AQ$109</f>
        <v>0</v>
      </c>
      <c r="AR290" s="55">
        <f>AR$109</f>
        <v>16.686485990000005</v>
      </c>
      <c r="AS290" s="55">
        <f t="shared" si="102"/>
        <v>17.138756550000004</v>
      </c>
    </row>
    <row r="291" spans="1:45" hidden="1" x14ac:dyDescent="0.25">
      <c r="C291" s="54">
        <f>(C289-C287)/(INDEX($A286:$A290,MATCH(C290,$A286:$A290)+1)-INDEX($A286:$A290,MATCH(C290,$A286:$A290)))*(C290-INDEX($A286:$A290,MATCH(C290,$A286:$A290)))+C287</f>
        <v>6.1424431540000094E-4</v>
      </c>
      <c r="D291" s="54">
        <f t="shared" ref="D291:AS291" si="103">(D289-D287)/(INDEX($A286:$A290,MATCH(D290,$A286:$A290)+1)-INDEX($A286:$A290,MATCH(D290,$A286:$A290)))*(D290-INDEX($A286:$A290,MATCH(D290,$A286:$A290)))+D287</f>
        <v>6.6705391839999985E-4</v>
      </c>
      <c r="E291" s="54">
        <f>(E289-E287)/(INDEX($A286:$A290,MATCH(E290,$A286:$A290)+1)-INDEX($A286:$A290,MATCH(E290,$A286:$A290)))*(E290-INDEX($A286:$A290,MATCH(E290,$A286:$A290)))+E287</f>
        <v>5.376721329999999E-4</v>
      </c>
      <c r="F291" s="54">
        <f>(F289-F287)/(INDEX($A286:$A290,MATCH(F290,$A286:$A290)+1)-INDEX($A286:$A290,MATCH(F290,$A286:$A290)))*(F290-INDEX($A286:$A290,MATCH(F290,$A286:$A290)))+F287</f>
        <v>5.0282286819999941E-4</v>
      </c>
      <c r="G291" s="54">
        <f t="shared" si="103"/>
        <v>5.0756626629999994E-4</v>
      </c>
      <c r="H291" s="54">
        <f>(H289-H287)/(INDEX($A286:$A290,MATCH(H290,$A286:$A290)+1)-INDEX($A286:$A290,MATCH(H290,$A286:$A290)))*(H290-INDEX($A286:$A290,MATCH(H290,$A286:$A290)))+H287</f>
        <v>5.844385870000001E-4</v>
      </c>
      <c r="I291" s="54">
        <f>(I289-I287)/(INDEX($A286:$A290,MATCH(I290,$A286:$A290)+1)-INDEX($A286:$A290,MATCH(I290,$A286:$A290)))*(I290-INDEX($A286:$A290,MATCH(I290,$A286:$A290)))+I287</f>
        <v>4.7333967880000018E-4</v>
      </c>
      <c r="J291" s="54">
        <f>(J289-J287)/(INDEX($A286:$A290,MATCH(J290,$A286:$A290)+1)-INDEX($A286:$A290,MATCH(J290,$A286:$A290)))*(J290-INDEX($A286:$A290,MATCH(J290,$A286:$A290)))+J287</f>
        <v>7.3324067260000013E-4</v>
      </c>
      <c r="K291" s="54">
        <f t="shared" si="103"/>
        <v>5.7777805480000019E-4</v>
      </c>
      <c r="L291" s="54">
        <f>(L289-L287)/(INDEX($A286:$A290,MATCH(L290,$A286:$A290)+1)-INDEX($A286:$A290,MATCH(L290,$A286:$A290)))*(L290-INDEX($A286:$A290,MATCH(L290,$A286:$A290)))+L287</f>
        <v>7.3175962030000083E-4</v>
      </c>
      <c r="M291" s="54">
        <f>(M289-M287)/(INDEX($A286:$A290,MATCH(M290,$A286:$A290)+1)-INDEX($A286:$A290,MATCH(M290,$A286:$A290)))*(M290-INDEX($A286:$A290,MATCH(M290,$A286:$A290)))+M287</f>
        <v>6.8639814819999965E-4</v>
      </c>
      <c r="N291" s="54">
        <f t="shared" si="103"/>
        <v>1.3256022400000799E-5</v>
      </c>
      <c r="O291" s="54">
        <f t="shared" si="103"/>
        <v>1.2188070400001722E-5</v>
      </c>
      <c r="P291" s="54">
        <f t="shared" si="103"/>
        <v>1.0661598400000682E-5</v>
      </c>
      <c r="Q291" s="54">
        <f t="shared" si="103"/>
        <v>6.439900972000001E-4</v>
      </c>
      <c r="R291" s="54">
        <f>(R289-R287)/(INDEX($A286:$A290,MATCH(R290,$A286:$A290)+1)-INDEX($A286:$A290,MATCH(R290,$A286:$A290)))*(R290-INDEX($A286:$A290,MATCH(R290,$A286:$A290)))+R287</f>
        <v>5.7672177370000064E-4</v>
      </c>
      <c r="S291" s="54">
        <f>(S289-S287)/(INDEX($A286:$A290,MATCH(S290,$A286:$A290)+1)-INDEX($A286:$A290,MATCH(S290,$A286:$A290)))*(S290-INDEX($A286:$A290,MATCH(S290,$A286:$A290)))+S287</f>
        <v>2.1285813759999942E-4</v>
      </c>
      <c r="T291" s="54">
        <f t="shared" si="103"/>
        <v>2.6355120160000183E-4</v>
      </c>
      <c r="U291" s="54">
        <f t="shared" si="103"/>
        <v>4.5072033759999955E-4</v>
      </c>
      <c r="V291" s="54">
        <f>(V289-V287)/(INDEX($A286:$A290,MATCH(V290,$A286:$A290)+1)-INDEX($A286:$A290,MATCH(V290,$A286:$A290)))*(V290-INDEX($A286:$A290,MATCH(V290,$A286:$A290)))+V287</f>
        <v>5.9260740220000007E-4</v>
      </c>
      <c r="W291" s="54">
        <f t="shared" si="103"/>
        <v>5.6547286539999973E-4</v>
      </c>
      <c r="X291" s="54">
        <f t="shared" si="103"/>
        <v>2.8280904640000246E-4</v>
      </c>
      <c r="Y291" s="54">
        <f t="shared" si="103"/>
        <v>6.1240380399999969E-4</v>
      </c>
      <c r="Z291" s="54">
        <f t="shared" si="103"/>
        <v>6.1788113949999925E-4</v>
      </c>
      <c r="AA291" s="54">
        <f>(AA289-AA287)/(INDEX($A286:$A290,MATCH(AA290,$A286:$A290)+1)-INDEX($A286:$A290,MATCH(AA290,$A286:$A290)))*(AA290-INDEX($A286:$A290,MATCH(AA290,$A286:$A290)))+AA287</f>
        <v>6.9940234569999945E-4</v>
      </c>
      <c r="AB291" s="54">
        <f t="shared" si="103"/>
        <v>5.7986276050000043E-4</v>
      </c>
      <c r="AC291" s="54">
        <f t="shared" si="103"/>
        <v>5.5428183099999961E-4</v>
      </c>
      <c r="AD291" s="54">
        <f t="shared" si="103"/>
        <v>6.6870994479999982E-4</v>
      </c>
      <c r="AE291" s="54">
        <f t="shared" si="103"/>
        <v>7.7869393990000007E-4</v>
      </c>
      <c r="AF291" s="54">
        <f t="shared" si="103"/>
        <v>5.5222712800000043E-4</v>
      </c>
      <c r="AG291" s="54">
        <f t="shared" si="103"/>
        <v>6.7044669729999964E-4</v>
      </c>
      <c r="AH291" s="54">
        <f t="shared" si="103"/>
        <v>4.4149936960000049E-4</v>
      </c>
      <c r="AI291" s="54">
        <f t="shared" si="103"/>
        <v>5.9736363549999861E-4</v>
      </c>
      <c r="AJ291" s="54">
        <f>(AJ289-AJ287)/(INDEX($A286:$A290,MATCH(AJ290,$A286:$A290)+1)-INDEX($A286:$A290,MATCH(AJ290,$A286:$A290)))*(AJ290-INDEX($A286:$A290,MATCH(AJ290,$A286:$A290)))+AJ287</f>
        <v>4.6777866040000017E-4</v>
      </c>
      <c r="AK291" s="54">
        <f t="shared" si="103"/>
        <v>1.5246098560000177E-4</v>
      </c>
      <c r="AL291" s="54">
        <f>(AL289-AL287)/(INDEX($A286:$A290,MATCH(AL290,$A286:$A290)+1)-INDEX($A286:$A290,MATCH(AL290,$A286:$A290)))*(AL290-INDEX($A286:$A290,MATCH(AL290,$A286:$A290)))+AL287</f>
        <v>7.1439363670000003E-4</v>
      </c>
      <c r="AM291" s="54">
        <f t="shared" si="103"/>
        <v>1.6900979199999711E-5</v>
      </c>
      <c r="AN291" s="54" t="e">
        <f>(AN289-AN287)/(INDEX($A286:$A290,MATCH(AN290,$A286:$A290)+1)-INDEX($A286:$A290,MATCH(AN290,$A286:$A290)))*(AN290-INDEX($A286:$A290,MATCH(AN290,$A286:$A290)))+AN287</f>
        <v>#N/A</v>
      </c>
      <c r="AO291" s="54">
        <f>(AO289-AO287)/(INDEX($A286:$A290,MATCH(AO290,$A286:$A290)+1)-INDEX($A286:$A290,MATCH(AO290,$A286:$A290)))*(AO290-INDEX($A286:$A290,MATCH(AO290,$A286:$A290)))+AO287</f>
        <v>1.8822555519999981E-4</v>
      </c>
      <c r="AP291" s="54">
        <f>(AP289-AP287)/(INDEX($A286:$A290,MATCH(AP290,$A286:$A290)+1)-INDEX($A286:$A290,MATCH(AP290,$A286:$A290)))*(AP290-INDEX($A286:$A290,MATCH(AP290,$A286:$A290)))+AP287</f>
        <v>4.1799126399999921E-4</v>
      </c>
      <c r="AQ291" s="54" t="e">
        <f>(AQ289-AQ287)/(INDEX($A286:$A290,MATCH(AQ290,$A286:$A290)+1)-INDEX($A286:$A290,MATCH(AQ290,$A286:$A290)))*(AQ290-INDEX($A286:$A290,MATCH(AQ290,$A286:$A290)))+AQ287</f>
        <v>#N/A</v>
      </c>
      <c r="AR291" s="54">
        <f>(AR289-AR287)/(INDEX($A286:$A290,MATCH(AR290,$A286:$A290)+1)-INDEX($A286:$A290,MATCH(AR290,$A286:$A290)))*(AR290-INDEX($A286:$A290,MATCH(AR290,$A286:$A290)))+AR287</f>
        <v>3.0951327520000236E-4</v>
      </c>
      <c r="AS291" s="54">
        <f t="shared" si="103"/>
        <v>4.891388755000008E-4</v>
      </c>
    </row>
  </sheetData>
  <sheetProtection selectLockedCells="1"/>
  <pageMargins left="0.25" right="0.25" top="0.25" bottom="0.25" header="0.3" footer="0.3"/>
  <pageSetup orientation="landscape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DC300-8D98-4E7B-8228-C743F4AC55B4}">
  <dimension ref="B3:H31"/>
  <sheetViews>
    <sheetView workbookViewId="0">
      <selection activeCell="AN84" sqref="AN84"/>
    </sheetView>
  </sheetViews>
  <sheetFormatPr defaultRowHeight="14.5" x14ac:dyDescent="0.35"/>
  <sheetData>
    <row r="3" spans="2:8" x14ac:dyDescent="0.35">
      <c r="C3">
        <v>1</v>
      </c>
      <c r="D3">
        <v>2</v>
      </c>
      <c r="E3">
        <v>3</v>
      </c>
      <c r="F3">
        <v>4</v>
      </c>
      <c r="G3">
        <v>5</v>
      </c>
      <c r="H3" t="s">
        <v>115</v>
      </c>
    </row>
    <row r="4" spans="2:8" x14ac:dyDescent="0.35">
      <c r="B4" t="s">
        <v>116</v>
      </c>
      <c r="H4" t="e">
        <f>100-SUM(H5:H14)</f>
        <v>#DIV/0!</v>
      </c>
    </row>
    <row r="5" spans="2:8" x14ac:dyDescent="0.35">
      <c r="B5" t="s">
        <v>117</v>
      </c>
      <c r="H5" t="e">
        <f t="shared" ref="H5:H13" si="0">ROUND(AVERAGE(C5:G5),2)</f>
        <v>#DIV/0!</v>
      </c>
    </row>
    <row r="6" spans="2:8" x14ac:dyDescent="0.35">
      <c r="B6" t="s">
        <v>118</v>
      </c>
      <c r="H6" t="e">
        <f t="shared" si="0"/>
        <v>#DIV/0!</v>
      </c>
    </row>
    <row r="7" spans="2:8" x14ac:dyDescent="0.35">
      <c r="B7" t="s">
        <v>119</v>
      </c>
      <c r="H7" t="e">
        <f t="shared" si="0"/>
        <v>#DIV/0!</v>
      </c>
    </row>
    <row r="8" spans="2:8" x14ac:dyDescent="0.35">
      <c r="B8" t="s">
        <v>120</v>
      </c>
      <c r="H8" t="e">
        <f t="shared" si="0"/>
        <v>#DIV/0!</v>
      </c>
    </row>
    <row r="9" spans="2:8" x14ac:dyDescent="0.35">
      <c r="B9" t="s">
        <v>121</v>
      </c>
      <c r="H9" t="e">
        <f t="shared" si="0"/>
        <v>#DIV/0!</v>
      </c>
    </row>
    <row r="10" spans="2:8" x14ac:dyDescent="0.35">
      <c r="B10" t="s">
        <v>122</v>
      </c>
      <c r="H10" t="e">
        <f t="shared" si="0"/>
        <v>#DIV/0!</v>
      </c>
    </row>
    <row r="11" spans="2:8" x14ac:dyDescent="0.35">
      <c r="B11" t="s">
        <v>123</v>
      </c>
      <c r="H11" t="e">
        <f t="shared" si="0"/>
        <v>#DIV/0!</v>
      </c>
    </row>
    <row r="12" spans="2:8" x14ac:dyDescent="0.35">
      <c r="B12" t="s">
        <v>124</v>
      </c>
      <c r="H12" t="e">
        <f t="shared" si="0"/>
        <v>#DIV/0!</v>
      </c>
    </row>
    <row r="13" spans="2:8" x14ac:dyDescent="0.35">
      <c r="B13" t="s">
        <v>125</v>
      </c>
      <c r="H13" t="e">
        <f t="shared" si="0"/>
        <v>#DIV/0!</v>
      </c>
    </row>
    <row r="14" spans="2:8" x14ac:dyDescent="0.35">
      <c r="B14" t="s">
        <v>126</v>
      </c>
      <c r="H14" t="e">
        <f>ROUND(AVERAGE(C14:G14),2)</f>
        <v>#DIV/0!</v>
      </c>
    </row>
    <row r="15" spans="2:8" x14ac:dyDescent="0.35">
      <c r="C15">
        <f t="shared" ref="C15:H15" si="1">SUM(C4:C14)</f>
        <v>0</v>
      </c>
      <c r="D15">
        <f t="shared" si="1"/>
        <v>0</v>
      </c>
      <c r="E15">
        <f t="shared" si="1"/>
        <v>0</v>
      </c>
      <c r="F15">
        <f t="shared" si="1"/>
        <v>0</v>
      </c>
      <c r="G15">
        <f t="shared" si="1"/>
        <v>0</v>
      </c>
      <c r="H15" t="e">
        <f t="shared" si="1"/>
        <v>#DIV/0!</v>
      </c>
    </row>
    <row r="19" spans="2:8" x14ac:dyDescent="0.35">
      <c r="C19">
        <v>1</v>
      </c>
      <c r="D19">
        <v>2</v>
      </c>
      <c r="E19">
        <v>3</v>
      </c>
      <c r="F19">
        <v>4</v>
      </c>
      <c r="G19">
        <v>5</v>
      </c>
      <c r="H19" t="s">
        <v>115</v>
      </c>
    </row>
    <row r="20" spans="2:8" x14ac:dyDescent="0.35">
      <c r="B20" t="s">
        <v>116</v>
      </c>
      <c r="H20" t="e">
        <f>100-SUM(H21:H30)</f>
        <v>#DIV/0!</v>
      </c>
    </row>
    <row r="21" spans="2:8" x14ac:dyDescent="0.35">
      <c r="B21" t="s">
        <v>117</v>
      </c>
      <c r="H21" t="e">
        <f t="shared" ref="H21:H29" si="2">ROUND(AVERAGE(C21:G21),2)</f>
        <v>#DIV/0!</v>
      </c>
    </row>
    <row r="22" spans="2:8" x14ac:dyDescent="0.35">
      <c r="B22" t="s">
        <v>118</v>
      </c>
      <c r="H22" t="e">
        <f t="shared" si="2"/>
        <v>#DIV/0!</v>
      </c>
    </row>
    <row r="23" spans="2:8" x14ac:dyDescent="0.35">
      <c r="B23" t="s">
        <v>119</v>
      </c>
      <c r="H23" t="e">
        <f t="shared" si="2"/>
        <v>#DIV/0!</v>
      </c>
    </row>
    <row r="24" spans="2:8" x14ac:dyDescent="0.35">
      <c r="B24" t="s">
        <v>120</v>
      </c>
      <c r="H24" t="e">
        <f t="shared" si="2"/>
        <v>#DIV/0!</v>
      </c>
    </row>
    <row r="25" spans="2:8" x14ac:dyDescent="0.35">
      <c r="B25" t="s">
        <v>121</v>
      </c>
      <c r="H25" t="e">
        <f t="shared" si="2"/>
        <v>#DIV/0!</v>
      </c>
    </row>
    <row r="26" spans="2:8" x14ac:dyDescent="0.35">
      <c r="B26" t="s">
        <v>122</v>
      </c>
      <c r="H26" t="e">
        <f t="shared" si="2"/>
        <v>#DIV/0!</v>
      </c>
    </row>
    <row r="27" spans="2:8" x14ac:dyDescent="0.35">
      <c r="B27" t="s">
        <v>123</v>
      </c>
      <c r="H27" t="e">
        <f t="shared" si="2"/>
        <v>#DIV/0!</v>
      </c>
    </row>
    <row r="28" spans="2:8" x14ac:dyDescent="0.35">
      <c r="B28" t="s">
        <v>124</v>
      </c>
      <c r="H28" t="e">
        <f t="shared" si="2"/>
        <v>#DIV/0!</v>
      </c>
    </row>
    <row r="29" spans="2:8" x14ac:dyDescent="0.35">
      <c r="B29" t="s">
        <v>125</v>
      </c>
      <c r="H29" t="e">
        <f t="shared" si="2"/>
        <v>#DIV/0!</v>
      </c>
    </row>
    <row r="30" spans="2:8" x14ac:dyDescent="0.35">
      <c r="B30" t="s">
        <v>126</v>
      </c>
      <c r="H30" t="e">
        <f>ROUND(AVERAGE(C30:G30),2)</f>
        <v>#DIV/0!</v>
      </c>
    </row>
    <row r="31" spans="2:8" x14ac:dyDescent="0.35">
      <c r="C31">
        <f t="shared" ref="C31:H31" si="3">SUM(C20:C30)</f>
        <v>0</v>
      </c>
      <c r="D31">
        <f t="shared" si="3"/>
        <v>0</v>
      </c>
      <c r="E31">
        <f t="shared" si="3"/>
        <v>0</v>
      </c>
      <c r="F31">
        <f t="shared" si="3"/>
        <v>0</v>
      </c>
      <c r="G31">
        <f t="shared" si="3"/>
        <v>0</v>
      </c>
      <c r="H31" t="e">
        <f t="shared" si="3"/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Typical Qualities</vt:lpstr>
      <vt:lpstr>data 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George Karamanoglou</cp:lastModifiedBy>
  <dcterms:created xsi:type="dcterms:W3CDTF">2019-08-11T21:00:34Z</dcterms:created>
  <dcterms:modified xsi:type="dcterms:W3CDTF">2025-10-13T19:56:09Z</dcterms:modified>
</cp:coreProperties>
</file>